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73E986F-42C8-4B3B-A204-299B9A9D6E8D}" xr6:coauthVersionLast="47" xr6:coauthVersionMax="47" xr10:uidLastSave="{00000000-0000-0000-0000-000000000000}"/>
  <bookViews>
    <workbookView xWindow="-108" yWindow="-108" windowWidth="23256" windowHeight="13896" firstSheet="7" activeTab="9" xr2:uid="{00000000-000D-0000-FFFF-FFFF00000000}"/>
  </bookViews>
  <sheets>
    <sheet name="คำแนะนำ" sheetId="1" r:id="rId1"/>
    <sheet name="M_ประเภทรถ" sheetId="2" r:id="rId2"/>
    <sheet name="M_ยี่ห้อ" sheetId="3" r:id="rId3"/>
    <sheet name="M_จังหวัด" sheetId="4" r:id="rId4"/>
    <sheet name="Fee_ตัดบัญชี" sheetId="5" r:id="rId5"/>
    <sheet name="Fee_แจ้งย้าย" sheetId="6" r:id="rId6"/>
    <sheet name="Fee_ตรวจรถ_กทม" sheetId="7" r:id="rId7"/>
    <sheet name="Fee_ตรวจรถ_ตจว" sheetId="8" r:id="rId8"/>
    <sheet name="Fee_รถยนต์_Bill" sheetId="9" r:id="rId9"/>
    <sheet name="Fee_รถยนต์_NoBill" sheetId="10" r:id="rId10"/>
    <sheet name="Fee_จยย_Bill" sheetId="11" r:id="rId11"/>
    <sheet name="Fee_จยย_NoBill" sheetId="12" r:id="rId12"/>
    <sheet name="บันทึกงาน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01" i="13" l="1"/>
  <c r="BA101" i="13"/>
  <c r="AO101" i="13"/>
  <c r="AN101" i="13"/>
  <c r="AM101" i="13"/>
  <c r="AK101" i="13"/>
  <c r="AJ101" i="13"/>
  <c r="AH101" i="13"/>
  <c r="AG101" i="13"/>
  <c r="AE101" i="13"/>
  <c r="AC101" i="13"/>
  <c r="Z101" i="13"/>
  <c r="Y101" i="13"/>
  <c r="X101" i="13"/>
  <c r="W101" i="13"/>
  <c r="V101" i="13"/>
  <c r="U101" i="13"/>
  <c r="T101" i="13"/>
  <c r="R101" i="13"/>
  <c r="Q101" i="13"/>
  <c r="P101" i="13"/>
  <c r="N101" i="13"/>
  <c r="A101" i="13"/>
  <c r="BB100" i="13"/>
  <c r="BA100" i="13"/>
  <c r="AO100" i="13"/>
  <c r="AN100" i="13"/>
  <c r="AM100" i="13"/>
  <c r="AK100" i="13"/>
  <c r="AJ100" i="13"/>
  <c r="AH100" i="13"/>
  <c r="AG100" i="13"/>
  <c r="AE100" i="13"/>
  <c r="AC100" i="13"/>
  <c r="Z100" i="13"/>
  <c r="Y100" i="13"/>
  <c r="X100" i="13"/>
  <c r="W100" i="13"/>
  <c r="V100" i="13"/>
  <c r="U100" i="13"/>
  <c r="T100" i="13"/>
  <c r="R100" i="13"/>
  <c r="Q100" i="13"/>
  <c r="P100" i="13"/>
  <c r="N100" i="13"/>
  <c r="A100" i="13"/>
  <c r="BB99" i="13"/>
  <c r="BA99" i="13"/>
  <c r="AO99" i="13"/>
  <c r="AN99" i="13"/>
  <c r="AM99" i="13"/>
  <c r="AK99" i="13"/>
  <c r="AJ99" i="13"/>
  <c r="AH99" i="13"/>
  <c r="AG99" i="13"/>
  <c r="AE99" i="13"/>
  <c r="AC99" i="13"/>
  <c r="Z99" i="13"/>
  <c r="Y99" i="13"/>
  <c r="X99" i="13"/>
  <c r="W99" i="13"/>
  <c r="V99" i="13"/>
  <c r="U99" i="13"/>
  <c r="T99" i="13"/>
  <c r="R99" i="13"/>
  <c r="Q99" i="13"/>
  <c r="P99" i="13"/>
  <c r="N99" i="13"/>
  <c r="A99" i="13"/>
  <c r="BB98" i="13"/>
  <c r="BA98" i="13"/>
  <c r="AO98" i="13"/>
  <c r="AN98" i="13"/>
  <c r="AM98" i="13"/>
  <c r="AK98" i="13"/>
  <c r="AJ98" i="13"/>
  <c r="AH98" i="13"/>
  <c r="AG98" i="13"/>
  <c r="AE98" i="13"/>
  <c r="AC98" i="13"/>
  <c r="Z98" i="13"/>
  <c r="Y98" i="13"/>
  <c r="X98" i="13"/>
  <c r="W98" i="13"/>
  <c r="V98" i="13"/>
  <c r="U98" i="13"/>
  <c r="T98" i="13"/>
  <c r="R98" i="13"/>
  <c r="Q98" i="13"/>
  <c r="P98" i="13"/>
  <c r="N98" i="13"/>
  <c r="A98" i="13"/>
  <c r="BB97" i="13"/>
  <c r="BA97" i="13"/>
  <c r="AO97" i="13"/>
  <c r="AN97" i="13"/>
  <c r="AM97" i="13"/>
  <c r="AK97" i="13"/>
  <c r="AJ97" i="13"/>
  <c r="AH97" i="13"/>
  <c r="AG97" i="13"/>
  <c r="AE97" i="13"/>
  <c r="AC97" i="13"/>
  <c r="Z97" i="13"/>
  <c r="Y97" i="13"/>
  <c r="X97" i="13"/>
  <c r="W97" i="13"/>
  <c r="V97" i="13"/>
  <c r="U97" i="13"/>
  <c r="T97" i="13"/>
  <c r="R97" i="13"/>
  <c r="Q97" i="13"/>
  <c r="P97" i="13"/>
  <c r="N97" i="13"/>
  <c r="A97" i="13"/>
  <c r="BB96" i="13"/>
  <c r="BA96" i="13"/>
  <c r="AO96" i="13"/>
  <c r="AN96" i="13"/>
  <c r="AM96" i="13"/>
  <c r="AK96" i="13"/>
  <c r="AJ96" i="13"/>
  <c r="AH96" i="13"/>
  <c r="AG96" i="13"/>
  <c r="AE96" i="13"/>
  <c r="AC96" i="13"/>
  <c r="Z96" i="13"/>
  <c r="Y96" i="13"/>
  <c r="X96" i="13"/>
  <c r="W96" i="13"/>
  <c r="V96" i="13"/>
  <c r="U96" i="13"/>
  <c r="T96" i="13"/>
  <c r="R96" i="13"/>
  <c r="Q96" i="13"/>
  <c r="P96" i="13"/>
  <c r="N96" i="13"/>
  <c r="A96" i="13"/>
  <c r="BB95" i="13"/>
  <c r="BA95" i="13"/>
  <c r="AO95" i="13"/>
  <c r="AN95" i="13"/>
  <c r="AM95" i="13"/>
  <c r="AK95" i="13"/>
  <c r="AJ95" i="13"/>
  <c r="AH95" i="13"/>
  <c r="AG95" i="13"/>
  <c r="AE95" i="13"/>
  <c r="AC95" i="13"/>
  <c r="Z95" i="13"/>
  <c r="Y95" i="13"/>
  <c r="X95" i="13"/>
  <c r="W95" i="13"/>
  <c r="V95" i="13"/>
  <c r="U95" i="13"/>
  <c r="T95" i="13"/>
  <c r="R95" i="13"/>
  <c r="Q95" i="13"/>
  <c r="P95" i="13"/>
  <c r="N95" i="13"/>
  <c r="A95" i="13"/>
  <c r="BB94" i="13"/>
  <c r="BA94" i="13"/>
  <c r="AO94" i="13"/>
  <c r="AN94" i="13"/>
  <c r="AM94" i="13"/>
  <c r="AK94" i="13"/>
  <c r="AJ94" i="13"/>
  <c r="AH94" i="13"/>
  <c r="AG94" i="13"/>
  <c r="AE94" i="13"/>
  <c r="AC94" i="13"/>
  <c r="Z94" i="13"/>
  <c r="Y94" i="13"/>
  <c r="X94" i="13"/>
  <c r="W94" i="13"/>
  <c r="V94" i="13"/>
  <c r="U94" i="13"/>
  <c r="T94" i="13"/>
  <c r="R94" i="13"/>
  <c r="Q94" i="13"/>
  <c r="P94" i="13"/>
  <c r="N94" i="13"/>
  <c r="A94" i="13"/>
  <c r="BB93" i="13"/>
  <c r="BA93" i="13"/>
  <c r="AO93" i="13"/>
  <c r="AN93" i="13"/>
  <c r="AM93" i="13"/>
  <c r="AK93" i="13"/>
  <c r="AJ93" i="13"/>
  <c r="AH93" i="13"/>
  <c r="AG93" i="13"/>
  <c r="AE93" i="13"/>
  <c r="AC93" i="13"/>
  <c r="Z93" i="13"/>
  <c r="Y93" i="13"/>
  <c r="X93" i="13"/>
  <c r="W93" i="13"/>
  <c r="V93" i="13"/>
  <c r="U93" i="13"/>
  <c r="T93" i="13"/>
  <c r="R93" i="13"/>
  <c r="Q93" i="13"/>
  <c r="P93" i="13"/>
  <c r="N93" i="13"/>
  <c r="A93" i="13"/>
  <c r="BB92" i="13"/>
  <c r="BA92" i="13"/>
  <c r="AO92" i="13"/>
  <c r="AN92" i="13"/>
  <c r="AM92" i="13"/>
  <c r="AK92" i="13"/>
  <c r="AJ92" i="13"/>
  <c r="AH92" i="13"/>
  <c r="AG92" i="13"/>
  <c r="AE92" i="13"/>
  <c r="AC92" i="13"/>
  <c r="Z92" i="13"/>
  <c r="Y92" i="13"/>
  <c r="X92" i="13"/>
  <c r="W92" i="13"/>
  <c r="V92" i="13"/>
  <c r="U92" i="13"/>
  <c r="T92" i="13"/>
  <c r="R92" i="13"/>
  <c r="Q92" i="13"/>
  <c r="P92" i="13"/>
  <c r="N92" i="13"/>
  <c r="A92" i="13"/>
  <c r="BB91" i="13"/>
  <c r="BA91" i="13"/>
  <c r="AO91" i="13"/>
  <c r="AN91" i="13"/>
  <c r="AM91" i="13"/>
  <c r="AK91" i="13"/>
  <c r="AJ91" i="13"/>
  <c r="AH91" i="13"/>
  <c r="AG91" i="13"/>
  <c r="AE91" i="13"/>
  <c r="AC91" i="13"/>
  <c r="Z91" i="13"/>
  <c r="Y91" i="13"/>
  <c r="X91" i="13"/>
  <c r="W91" i="13"/>
  <c r="V91" i="13"/>
  <c r="U91" i="13"/>
  <c r="T91" i="13"/>
  <c r="R91" i="13"/>
  <c r="Q91" i="13"/>
  <c r="P91" i="13"/>
  <c r="N91" i="13"/>
  <c r="A91" i="13"/>
  <c r="BB90" i="13"/>
  <c r="BA90" i="13"/>
  <c r="AO90" i="13"/>
  <c r="AN90" i="13"/>
  <c r="AM90" i="13"/>
  <c r="AK90" i="13"/>
  <c r="AJ90" i="13"/>
  <c r="AH90" i="13"/>
  <c r="AG90" i="13"/>
  <c r="AE90" i="13"/>
  <c r="AC90" i="13"/>
  <c r="Z90" i="13"/>
  <c r="Y90" i="13"/>
  <c r="X90" i="13"/>
  <c r="W90" i="13"/>
  <c r="V90" i="13"/>
  <c r="U90" i="13"/>
  <c r="T90" i="13"/>
  <c r="R90" i="13"/>
  <c r="Q90" i="13"/>
  <c r="P90" i="13"/>
  <c r="N90" i="13"/>
  <c r="A90" i="13"/>
  <c r="BB89" i="13"/>
  <c r="BA89" i="13"/>
  <c r="AO89" i="13"/>
  <c r="AN89" i="13"/>
  <c r="AM89" i="13"/>
  <c r="AK89" i="13"/>
  <c r="AJ89" i="13"/>
  <c r="AH89" i="13"/>
  <c r="AG89" i="13"/>
  <c r="AE89" i="13"/>
  <c r="AC89" i="13"/>
  <c r="Z89" i="13"/>
  <c r="Y89" i="13"/>
  <c r="X89" i="13"/>
  <c r="W89" i="13"/>
  <c r="V89" i="13"/>
  <c r="U89" i="13"/>
  <c r="T89" i="13"/>
  <c r="R89" i="13"/>
  <c r="Q89" i="13"/>
  <c r="P89" i="13"/>
  <c r="N89" i="13"/>
  <c r="A89" i="13"/>
  <c r="BB88" i="13"/>
  <c r="BA88" i="13"/>
  <c r="AO88" i="13"/>
  <c r="AN88" i="13"/>
  <c r="AM88" i="13"/>
  <c r="AK88" i="13"/>
  <c r="AJ88" i="13"/>
  <c r="AH88" i="13"/>
  <c r="AG88" i="13"/>
  <c r="AE88" i="13"/>
  <c r="AC88" i="13"/>
  <c r="Z88" i="13"/>
  <c r="Y88" i="13"/>
  <c r="X88" i="13"/>
  <c r="W88" i="13"/>
  <c r="V88" i="13"/>
  <c r="U88" i="13"/>
  <c r="T88" i="13"/>
  <c r="R88" i="13"/>
  <c r="Q88" i="13"/>
  <c r="P88" i="13"/>
  <c r="N88" i="13"/>
  <c r="A88" i="13"/>
  <c r="BB87" i="13"/>
  <c r="BA87" i="13"/>
  <c r="AO87" i="13"/>
  <c r="AN87" i="13"/>
  <c r="AM87" i="13"/>
  <c r="AK87" i="13"/>
  <c r="AJ87" i="13"/>
  <c r="AH87" i="13"/>
  <c r="AG87" i="13"/>
  <c r="AE87" i="13"/>
  <c r="AC87" i="13"/>
  <c r="Z87" i="13"/>
  <c r="Y87" i="13"/>
  <c r="X87" i="13"/>
  <c r="W87" i="13"/>
  <c r="V87" i="13"/>
  <c r="U87" i="13"/>
  <c r="T87" i="13"/>
  <c r="R87" i="13"/>
  <c r="Q87" i="13"/>
  <c r="P87" i="13"/>
  <c r="N87" i="13"/>
  <c r="A87" i="13"/>
  <c r="BB86" i="13"/>
  <c r="BA86" i="13"/>
  <c r="AO86" i="13"/>
  <c r="AN86" i="13"/>
  <c r="AM86" i="13"/>
  <c r="AK86" i="13"/>
  <c r="AJ86" i="13"/>
  <c r="AH86" i="13"/>
  <c r="AG86" i="13"/>
  <c r="AE86" i="13"/>
  <c r="AC86" i="13"/>
  <c r="Z86" i="13"/>
  <c r="Y86" i="13"/>
  <c r="X86" i="13"/>
  <c r="W86" i="13"/>
  <c r="V86" i="13"/>
  <c r="U86" i="13"/>
  <c r="T86" i="13"/>
  <c r="R86" i="13"/>
  <c r="Q86" i="13"/>
  <c r="P86" i="13"/>
  <c r="N86" i="13"/>
  <c r="A86" i="13"/>
  <c r="BB85" i="13"/>
  <c r="BA85" i="13"/>
  <c r="AO85" i="13"/>
  <c r="AN85" i="13"/>
  <c r="AM85" i="13"/>
  <c r="AK85" i="13"/>
  <c r="AJ85" i="13"/>
  <c r="AH85" i="13"/>
  <c r="AG85" i="13"/>
  <c r="AE85" i="13"/>
  <c r="AC85" i="13"/>
  <c r="Z85" i="13"/>
  <c r="Y85" i="13"/>
  <c r="X85" i="13"/>
  <c r="W85" i="13"/>
  <c r="V85" i="13"/>
  <c r="U85" i="13"/>
  <c r="T85" i="13"/>
  <c r="R85" i="13"/>
  <c r="Q85" i="13"/>
  <c r="P85" i="13"/>
  <c r="N85" i="13"/>
  <c r="A85" i="13"/>
  <c r="BB84" i="13"/>
  <c r="BA84" i="13"/>
  <c r="AO84" i="13"/>
  <c r="AN84" i="13"/>
  <c r="AM84" i="13"/>
  <c r="AK84" i="13"/>
  <c r="AJ84" i="13"/>
  <c r="AH84" i="13"/>
  <c r="AG84" i="13"/>
  <c r="AE84" i="13"/>
  <c r="AC84" i="13"/>
  <c r="Z84" i="13"/>
  <c r="Y84" i="13"/>
  <c r="X84" i="13"/>
  <c r="W84" i="13"/>
  <c r="V84" i="13"/>
  <c r="U84" i="13"/>
  <c r="T84" i="13"/>
  <c r="R84" i="13"/>
  <c r="Q84" i="13"/>
  <c r="P84" i="13"/>
  <c r="N84" i="13"/>
  <c r="A84" i="13"/>
  <c r="BB83" i="13"/>
  <c r="BA83" i="13"/>
  <c r="AO83" i="13"/>
  <c r="AN83" i="13"/>
  <c r="AM83" i="13"/>
  <c r="AK83" i="13"/>
  <c r="AJ83" i="13"/>
  <c r="AH83" i="13"/>
  <c r="AG83" i="13"/>
  <c r="AE83" i="13"/>
  <c r="AC83" i="13"/>
  <c r="Z83" i="13"/>
  <c r="Y83" i="13"/>
  <c r="X83" i="13"/>
  <c r="W83" i="13"/>
  <c r="V83" i="13"/>
  <c r="U83" i="13"/>
  <c r="T83" i="13"/>
  <c r="R83" i="13"/>
  <c r="Q83" i="13"/>
  <c r="P83" i="13"/>
  <c r="N83" i="13"/>
  <c r="A83" i="13"/>
  <c r="BB82" i="13"/>
  <c r="BA82" i="13"/>
  <c r="AO82" i="13"/>
  <c r="AN82" i="13"/>
  <c r="AM82" i="13"/>
  <c r="AK82" i="13"/>
  <c r="AJ82" i="13"/>
  <c r="AH82" i="13"/>
  <c r="AG82" i="13"/>
  <c r="AE82" i="13"/>
  <c r="AC82" i="13"/>
  <c r="Z82" i="13"/>
  <c r="Y82" i="13"/>
  <c r="X82" i="13"/>
  <c r="W82" i="13"/>
  <c r="V82" i="13"/>
  <c r="U82" i="13"/>
  <c r="T82" i="13"/>
  <c r="R82" i="13"/>
  <c r="Q82" i="13"/>
  <c r="P82" i="13"/>
  <c r="N82" i="13"/>
  <c r="A82" i="13"/>
  <c r="BB81" i="13"/>
  <c r="BA81" i="13"/>
  <c r="AO81" i="13"/>
  <c r="AN81" i="13"/>
  <c r="AM81" i="13"/>
  <c r="AK81" i="13"/>
  <c r="AJ81" i="13"/>
  <c r="AH81" i="13"/>
  <c r="AG81" i="13"/>
  <c r="AE81" i="13"/>
  <c r="AC81" i="13"/>
  <c r="Z81" i="13"/>
  <c r="Y81" i="13"/>
  <c r="X81" i="13"/>
  <c r="W81" i="13"/>
  <c r="V81" i="13"/>
  <c r="U81" i="13"/>
  <c r="T81" i="13"/>
  <c r="R81" i="13"/>
  <c r="Q81" i="13"/>
  <c r="P81" i="13"/>
  <c r="N81" i="13"/>
  <c r="A81" i="13"/>
  <c r="BB80" i="13"/>
  <c r="BA80" i="13"/>
  <c r="AO80" i="13"/>
  <c r="AN80" i="13"/>
  <c r="AM80" i="13"/>
  <c r="AK80" i="13"/>
  <c r="AJ80" i="13"/>
  <c r="AH80" i="13"/>
  <c r="AG80" i="13"/>
  <c r="AE80" i="13"/>
  <c r="AC80" i="13"/>
  <c r="Z80" i="13"/>
  <c r="Y80" i="13"/>
  <c r="X80" i="13"/>
  <c r="W80" i="13"/>
  <c r="V80" i="13"/>
  <c r="U80" i="13"/>
  <c r="T80" i="13"/>
  <c r="R80" i="13"/>
  <c r="Q80" i="13"/>
  <c r="P80" i="13"/>
  <c r="N80" i="13"/>
  <c r="A80" i="13"/>
  <c r="BB79" i="13"/>
  <c r="BA79" i="13"/>
  <c r="AO79" i="13"/>
  <c r="AN79" i="13"/>
  <c r="AM79" i="13"/>
  <c r="AK79" i="13"/>
  <c r="AJ79" i="13"/>
  <c r="AH79" i="13"/>
  <c r="AG79" i="13"/>
  <c r="AE79" i="13"/>
  <c r="AC79" i="13"/>
  <c r="Z79" i="13"/>
  <c r="Y79" i="13"/>
  <c r="X79" i="13"/>
  <c r="W79" i="13"/>
  <c r="V79" i="13"/>
  <c r="U79" i="13"/>
  <c r="T79" i="13"/>
  <c r="R79" i="13"/>
  <c r="Q79" i="13"/>
  <c r="P79" i="13"/>
  <c r="N79" i="13"/>
  <c r="A79" i="13"/>
  <c r="BB78" i="13"/>
  <c r="BA78" i="13"/>
  <c r="AO78" i="13"/>
  <c r="AN78" i="13"/>
  <c r="AM78" i="13"/>
  <c r="AK78" i="13"/>
  <c r="AJ78" i="13"/>
  <c r="AH78" i="13"/>
  <c r="AG78" i="13"/>
  <c r="AE78" i="13"/>
  <c r="AC78" i="13"/>
  <c r="Z78" i="13"/>
  <c r="Y78" i="13"/>
  <c r="X78" i="13"/>
  <c r="W78" i="13"/>
  <c r="V78" i="13"/>
  <c r="U78" i="13"/>
  <c r="T78" i="13"/>
  <c r="R78" i="13"/>
  <c r="Q78" i="13"/>
  <c r="P78" i="13"/>
  <c r="N78" i="13"/>
  <c r="A78" i="13"/>
  <c r="BB77" i="13"/>
  <c r="BA77" i="13"/>
  <c r="AO77" i="13"/>
  <c r="AN77" i="13"/>
  <c r="AM77" i="13"/>
  <c r="AK77" i="13"/>
  <c r="AJ77" i="13"/>
  <c r="AH77" i="13"/>
  <c r="AG77" i="13"/>
  <c r="AE77" i="13"/>
  <c r="AC77" i="13"/>
  <c r="Z77" i="13"/>
  <c r="Y77" i="13"/>
  <c r="X77" i="13"/>
  <c r="W77" i="13"/>
  <c r="V77" i="13"/>
  <c r="U77" i="13"/>
  <c r="T77" i="13"/>
  <c r="R77" i="13"/>
  <c r="Q77" i="13"/>
  <c r="P77" i="13"/>
  <c r="N77" i="13"/>
  <c r="A77" i="13"/>
  <c r="BB76" i="13"/>
  <c r="BA76" i="13"/>
  <c r="AO76" i="13"/>
  <c r="AN76" i="13"/>
  <c r="AM76" i="13"/>
  <c r="AK76" i="13"/>
  <c r="AJ76" i="13"/>
  <c r="AH76" i="13"/>
  <c r="AG76" i="13"/>
  <c r="AE76" i="13"/>
  <c r="AC76" i="13"/>
  <c r="Z76" i="13"/>
  <c r="Y76" i="13"/>
  <c r="X76" i="13"/>
  <c r="W76" i="13"/>
  <c r="V76" i="13"/>
  <c r="U76" i="13"/>
  <c r="T76" i="13"/>
  <c r="R76" i="13"/>
  <c r="Q76" i="13"/>
  <c r="P76" i="13"/>
  <c r="N76" i="13"/>
  <c r="A76" i="13"/>
  <c r="BB75" i="13"/>
  <c r="BA75" i="13"/>
  <c r="AO75" i="13"/>
  <c r="AN75" i="13"/>
  <c r="AM75" i="13"/>
  <c r="AK75" i="13"/>
  <c r="AJ75" i="13"/>
  <c r="AH75" i="13"/>
  <c r="AG75" i="13"/>
  <c r="AE75" i="13"/>
  <c r="AC75" i="13"/>
  <c r="Z75" i="13"/>
  <c r="Y75" i="13"/>
  <c r="X75" i="13"/>
  <c r="W75" i="13"/>
  <c r="V75" i="13"/>
  <c r="U75" i="13"/>
  <c r="T75" i="13"/>
  <c r="R75" i="13"/>
  <c r="Q75" i="13"/>
  <c r="P75" i="13"/>
  <c r="N75" i="13"/>
  <c r="A75" i="13"/>
  <c r="BB74" i="13"/>
  <c r="BA74" i="13"/>
  <c r="AO74" i="13"/>
  <c r="AN74" i="13"/>
  <c r="AM74" i="13"/>
  <c r="AK74" i="13"/>
  <c r="AJ74" i="13"/>
  <c r="AH74" i="13"/>
  <c r="AG74" i="13"/>
  <c r="AE74" i="13"/>
  <c r="AC74" i="13"/>
  <c r="Z74" i="13"/>
  <c r="Y74" i="13"/>
  <c r="X74" i="13"/>
  <c r="W74" i="13"/>
  <c r="V74" i="13"/>
  <c r="U74" i="13"/>
  <c r="T74" i="13"/>
  <c r="R74" i="13"/>
  <c r="Q74" i="13"/>
  <c r="P74" i="13"/>
  <c r="N74" i="13"/>
  <c r="A74" i="13"/>
  <c r="BB73" i="13"/>
  <c r="BA73" i="13"/>
  <c r="AO73" i="13"/>
  <c r="AN73" i="13"/>
  <c r="AM73" i="13"/>
  <c r="AK73" i="13"/>
  <c r="AJ73" i="13"/>
  <c r="AH73" i="13"/>
  <c r="AG73" i="13"/>
  <c r="AE73" i="13"/>
  <c r="AC73" i="13"/>
  <c r="Z73" i="13"/>
  <c r="Y73" i="13"/>
  <c r="X73" i="13"/>
  <c r="W73" i="13"/>
  <c r="V73" i="13"/>
  <c r="U73" i="13"/>
  <c r="T73" i="13"/>
  <c r="R73" i="13"/>
  <c r="Q73" i="13"/>
  <c r="P73" i="13"/>
  <c r="N73" i="13"/>
  <c r="A73" i="13"/>
  <c r="BB72" i="13"/>
  <c r="BA72" i="13"/>
  <c r="AO72" i="13"/>
  <c r="AN72" i="13"/>
  <c r="AM72" i="13"/>
  <c r="AK72" i="13"/>
  <c r="AJ72" i="13"/>
  <c r="AH72" i="13"/>
  <c r="AG72" i="13"/>
  <c r="AE72" i="13"/>
  <c r="AC72" i="13"/>
  <c r="Z72" i="13"/>
  <c r="Y72" i="13"/>
  <c r="X72" i="13"/>
  <c r="W72" i="13"/>
  <c r="V72" i="13"/>
  <c r="U72" i="13"/>
  <c r="T72" i="13"/>
  <c r="R72" i="13"/>
  <c r="Q72" i="13"/>
  <c r="P72" i="13"/>
  <c r="N72" i="13"/>
  <c r="A72" i="13"/>
  <c r="BB71" i="13"/>
  <c r="BA71" i="13"/>
  <c r="AO71" i="13"/>
  <c r="AN71" i="13"/>
  <c r="AM71" i="13"/>
  <c r="AK71" i="13"/>
  <c r="AJ71" i="13"/>
  <c r="AH71" i="13"/>
  <c r="AG71" i="13"/>
  <c r="AE71" i="13"/>
  <c r="AC71" i="13"/>
  <c r="Z71" i="13"/>
  <c r="Y71" i="13"/>
  <c r="X71" i="13"/>
  <c r="W71" i="13"/>
  <c r="V71" i="13"/>
  <c r="U71" i="13"/>
  <c r="T71" i="13"/>
  <c r="R71" i="13"/>
  <c r="Q71" i="13"/>
  <c r="P71" i="13"/>
  <c r="N71" i="13"/>
  <c r="A71" i="13"/>
  <c r="BB70" i="13"/>
  <c r="BA70" i="13"/>
  <c r="AO70" i="13"/>
  <c r="AN70" i="13"/>
  <c r="AM70" i="13"/>
  <c r="AK70" i="13"/>
  <c r="AJ70" i="13"/>
  <c r="AH70" i="13"/>
  <c r="AG70" i="13"/>
  <c r="AE70" i="13"/>
  <c r="AC70" i="13"/>
  <c r="Z70" i="13"/>
  <c r="Y70" i="13"/>
  <c r="X70" i="13"/>
  <c r="W70" i="13"/>
  <c r="V70" i="13"/>
  <c r="U70" i="13"/>
  <c r="T70" i="13"/>
  <c r="R70" i="13"/>
  <c r="Q70" i="13"/>
  <c r="P70" i="13"/>
  <c r="N70" i="13"/>
  <c r="A70" i="13"/>
  <c r="BB69" i="13"/>
  <c r="BA69" i="13"/>
  <c r="AO69" i="13"/>
  <c r="AN69" i="13"/>
  <c r="AM69" i="13"/>
  <c r="AK69" i="13"/>
  <c r="AJ69" i="13"/>
  <c r="AH69" i="13"/>
  <c r="AG69" i="13"/>
  <c r="AE69" i="13"/>
  <c r="AC69" i="13"/>
  <c r="Z69" i="13"/>
  <c r="Y69" i="13"/>
  <c r="X69" i="13"/>
  <c r="W69" i="13"/>
  <c r="V69" i="13"/>
  <c r="U69" i="13"/>
  <c r="T69" i="13"/>
  <c r="R69" i="13"/>
  <c r="Q69" i="13"/>
  <c r="P69" i="13"/>
  <c r="N69" i="13"/>
  <c r="A69" i="13"/>
  <c r="BB68" i="13"/>
  <c r="BA68" i="13"/>
  <c r="AO68" i="13"/>
  <c r="AN68" i="13"/>
  <c r="AM68" i="13"/>
  <c r="AK68" i="13"/>
  <c r="AJ68" i="13"/>
  <c r="AH68" i="13"/>
  <c r="AG68" i="13"/>
  <c r="AE68" i="13"/>
  <c r="AC68" i="13"/>
  <c r="Z68" i="13"/>
  <c r="Y68" i="13"/>
  <c r="X68" i="13"/>
  <c r="W68" i="13"/>
  <c r="V68" i="13"/>
  <c r="U68" i="13"/>
  <c r="T68" i="13"/>
  <c r="R68" i="13"/>
  <c r="Q68" i="13"/>
  <c r="P68" i="13"/>
  <c r="N68" i="13"/>
  <c r="A68" i="13"/>
  <c r="BB67" i="13"/>
  <c r="BA67" i="13"/>
  <c r="AO67" i="13"/>
  <c r="AN67" i="13"/>
  <c r="AM67" i="13"/>
  <c r="AK67" i="13"/>
  <c r="AJ67" i="13"/>
  <c r="AH67" i="13"/>
  <c r="AG67" i="13"/>
  <c r="AE67" i="13"/>
  <c r="AC67" i="13"/>
  <c r="Z67" i="13"/>
  <c r="Y67" i="13"/>
  <c r="X67" i="13"/>
  <c r="W67" i="13"/>
  <c r="V67" i="13"/>
  <c r="U67" i="13"/>
  <c r="T67" i="13"/>
  <c r="R67" i="13"/>
  <c r="Q67" i="13"/>
  <c r="P67" i="13"/>
  <c r="N67" i="13"/>
  <c r="A67" i="13"/>
  <c r="BB66" i="13"/>
  <c r="BA66" i="13"/>
  <c r="AO66" i="13"/>
  <c r="AN66" i="13"/>
  <c r="AM66" i="13"/>
  <c r="AK66" i="13"/>
  <c r="AJ66" i="13"/>
  <c r="AH66" i="13"/>
  <c r="AG66" i="13"/>
  <c r="AE66" i="13"/>
  <c r="AC66" i="13"/>
  <c r="Z66" i="13"/>
  <c r="Y66" i="13"/>
  <c r="X66" i="13"/>
  <c r="W66" i="13"/>
  <c r="V66" i="13"/>
  <c r="U66" i="13"/>
  <c r="T66" i="13"/>
  <c r="R66" i="13"/>
  <c r="Q66" i="13"/>
  <c r="P66" i="13"/>
  <c r="N66" i="13"/>
  <c r="A66" i="13"/>
  <c r="BB65" i="13"/>
  <c r="BA65" i="13"/>
  <c r="AO65" i="13"/>
  <c r="AN65" i="13"/>
  <c r="AM65" i="13"/>
  <c r="AK65" i="13"/>
  <c r="AJ65" i="13"/>
  <c r="AH65" i="13"/>
  <c r="AG65" i="13"/>
  <c r="AE65" i="13"/>
  <c r="AC65" i="13"/>
  <c r="Z65" i="13"/>
  <c r="Y65" i="13"/>
  <c r="X65" i="13"/>
  <c r="W65" i="13"/>
  <c r="V65" i="13"/>
  <c r="U65" i="13"/>
  <c r="T65" i="13"/>
  <c r="R65" i="13"/>
  <c r="Q65" i="13"/>
  <c r="P65" i="13"/>
  <c r="N65" i="13"/>
  <c r="A65" i="13"/>
  <c r="BB64" i="13"/>
  <c r="BA64" i="13"/>
  <c r="AO64" i="13"/>
  <c r="AN64" i="13"/>
  <c r="AM64" i="13"/>
  <c r="AK64" i="13"/>
  <c r="AJ64" i="13"/>
  <c r="AH64" i="13"/>
  <c r="AG64" i="13"/>
  <c r="AE64" i="13"/>
  <c r="AC64" i="13"/>
  <c r="Z64" i="13"/>
  <c r="Y64" i="13"/>
  <c r="X64" i="13"/>
  <c r="W64" i="13"/>
  <c r="V64" i="13"/>
  <c r="U64" i="13"/>
  <c r="T64" i="13"/>
  <c r="R64" i="13"/>
  <c r="Q64" i="13"/>
  <c r="P64" i="13"/>
  <c r="N64" i="13"/>
  <c r="A64" i="13"/>
  <c r="BB63" i="13"/>
  <c r="BA63" i="13"/>
  <c r="AO63" i="13"/>
  <c r="AN63" i="13"/>
  <c r="AM63" i="13"/>
  <c r="AK63" i="13"/>
  <c r="AJ63" i="13"/>
  <c r="AH63" i="13"/>
  <c r="AG63" i="13"/>
  <c r="AE63" i="13"/>
  <c r="AC63" i="13"/>
  <c r="Z63" i="13"/>
  <c r="Y63" i="13"/>
  <c r="X63" i="13"/>
  <c r="W63" i="13"/>
  <c r="V63" i="13"/>
  <c r="U63" i="13"/>
  <c r="T63" i="13"/>
  <c r="R63" i="13"/>
  <c r="Q63" i="13"/>
  <c r="P63" i="13"/>
  <c r="N63" i="13"/>
  <c r="A63" i="13"/>
  <c r="BB62" i="13"/>
  <c r="BA62" i="13"/>
  <c r="AO62" i="13"/>
  <c r="AN62" i="13"/>
  <c r="AM62" i="13"/>
  <c r="AK62" i="13"/>
  <c r="AJ62" i="13"/>
  <c r="AH62" i="13"/>
  <c r="AG62" i="13"/>
  <c r="AE62" i="13"/>
  <c r="AC62" i="13"/>
  <c r="Z62" i="13"/>
  <c r="Y62" i="13"/>
  <c r="X62" i="13"/>
  <c r="W62" i="13"/>
  <c r="V62" i="13"/>
  <c r="U62" i="13"/>
  <c r="T62" i="13"/>
  <c r="R62" i="13"/>
  <c r="Q62" i="13"/>
  <c r="P62" i="13"/>
  <c r="N62" i="13"/>
  <c r="A62" i="13"/>
  <c r="BB61" i="13"/>
  <c r="BA61" i="13"/>
  <c r="AO61" i="13"/>
  <c r="AN61" i="13"/>
  <c r="AM61" i="13"/>
  <c r="AK61" i="13"/>
  <c r="AJ61" i="13"/>
  <c r="AH61" i="13"/>
  <c r="AG61" i="13"/>
  <c r="AE61" i="13"/>
  <c r="AC61" i="13"/>
  <c r="Z61" i="13"/>
  <c r="Y61" i="13"/>
  <c r="X61" i="13"/>
  <c r="W61" i="13"/>
  <c r="V61" i="13"/>
  <c r="U61" i="13"/>
  <c r="T61" i="13"/>
  <c r="R61" i="13"/>
  <c r="Q61" i="13"/>
  <c r="P61" i="13"/>
  <c r="N61" i="13"/>
  <c r="A61" i="13"/>
  <c r="BB60" i="13"/>
  <c r="BA60" i="13"/>
  <c r="AO60" i="13"/>
  <c r="AN60" i="13"/>
  <c r="AM60" i="13"/>
  <c r="AK60" i="13"/>
  <c r="AJ60" i="13"/>
  <c r="AH60" i="13"/>
  <c r="AG60" i="13"/>
  <c r="AE60" i="13"/>
  <c r="AC60" i="13"/>
  <c r="Z60" i="13"/>
  <c r="Y60" i="13"/>
  <c r="X60" i="13"/>
  <c r="W60" i="13"/>
  <c r="V60" i="13"/>
  <c r="U60" i="13"/>
  <c r="T60" i="13"/>
  <c r="R60" i="13"/>
  <c r="Q60" i="13"/>
  <c r="P60" i="13"/>
  <c r="N60" i="13"/>
  <c r="A60" i="13"/>
  <c r="BB59" i="13"/>
  <c r="BA59" i="13"/>
  <c r="AO59" i="13"/>
  <c r="AN59" i="13"/>
  <c r="AM59" i="13"/>
  <c r="AK59" i="13"/>
  <c r="AJ59" i="13"/>
  <c r="AH59" i="13"/>
  <c r="AG59" i="13"/>
  <c r="AE59" i="13"/>
  <c r="AC59" i="13"/>
  <c r="Z59" i="13"/>
  <c r="Y59" i="13"/>
  <c r="X59" i="13"/>
  <c r="W59" i="13"/>
  <c r="V59" i="13"/>
  <c r="U59" i="13"/>
  <c r="T59" i="13"/>
  <c r="R59" i="13"/>
  <c r="Q59" i="13"/>
  <c r="P59" i="13"/>
  <c r="N59" i="13"/>
  <c r="A59" i="13"/>
  <c r="BB58" i="13"/>
  <c r="BA58" i="13"/>
  <c r="AO58" i="13"/>
  <c r="AN58" i="13"/>
  <c r="AM58" i="13"/>
  <c r="AK58" i="13"/>
  <c r="AJ58" i="13"/>
  <c r="AH58" i="13"/>
  <c r="AG58" i="13"/>
  <c r="AE58" i="13"/>
  <c r="AC58" i="13"/>
  <c r="Z58" i="13"/>
  <c r="Y58" i="13"/>
  <c r="X58" i="13"/>
  <c r="W58" i="13"/>
  <c r="V58" i="13"/>
  <c r="U58" i="13"/>
  <c r="T58" i="13"/>
  <c r="R58" i="13"/>
  <c r="Q58" i="13"/>
  <c r="P58" i="13"/>
  <c r="N58" i="13"/>
  <c r="A58" i="13"/>
  <c r="BB57" i="13"/>
  <c r="BA57" i="13"/>
  <c r="AO57" i="13"/>
  <c r="AN57" i="13"/>
  <c r="AM57" i="13"/>
  <c r="AK57" i="13"/>
  <c r="AJ57" i="13"/>
  <c r="AH57" i="13"/>
  <c r="AG57" i="13"/>
  <c r="AE57" i="13"/>
  <c r="AC57" i="13"/>
  <c r="Z57" i="13"/>
  <c r="Y57" i="13"/>
  <c r="X57" i="13"/>
  <c r="W57" i="13"/>
  <c r="V57" i="13"/>
  <c r="U57" i="13"/>
  <c r="T57" i="13"/>
  <c r="R57" i="13"/>
  <c r="Q57" i="13"/>
  <c r="P57" i="13"/>
  <c r="N57" i="13"/>
  <c r="A57" i="13"/>
  <c r="BB56" i="13"/>
  <c r="BA56" i="13"/>
  <c r="AO56" i="13"/>
  <c r="AN56" i="13"/>
  <c r="AM56" i="13"/>
  <c r="AK56" i="13"/>
  <c r="AJ56" i="13"/>
  <c r="AH56" i="13"/>
  <c r="AG56" i="13"/>
  <c r="AE56" i="13"/>
  <c r="AC56" i="13"/>
  <c r="Z56" i="13"/>
  <c r="Y56" i="13"/>
  <c r="X56" i="13"/>
  <c r="W56" i="13"/>
  <c r="V56" i="13"/>
  <c r="U56" i="13"/>
  <c r="T56" i="13"/>
  <c r="R56" i="13"/>
  <c r="Q56" i="13"/>
  <c r="P56" i="13"/>
  <c r="N56" i="13"/>
  <c r="A56" i="13"/>
  <c r="BB55" i="13"/>
  <c r="BA55" i="13"/>
  <c r="AO55" i="13"/>
  <c r="AN55" i="13"/>
  <c r="AM55" i="13"/>
  <c r="AK55" i="13"/>
  <c r="AJ55" i="13"/>
  <c r="AH55" i="13"/>
  <c r="AG55" i="13"/>
  <c r="AE55" i="13"/>
  <c r="AC55" i="13"/>
  <c r="Z55" i="13"/>
  <c r="Y55" i="13"/>
  <c r="X55" i="13"/>
  <c r="W55" i="13"/>
  <c r="V55" i="13"/>
  <c r="U55" i="13"/>
  <c r="T55" i="13"/>
  <c r="R55" i="13"/>
  <c r="Q55" i="13"/>
  <c r="P55" i="13"/>
  <c r="N55" i="13"/>
  <c r="A55" i="13"/>
  <c r="BB54" i="13"/>
  <c r="BA54" i="13"/>
  <c r="AO54" i="13"/>
  <c r="AN54" i="13"/>
  <c r="AM54" i="13"/>
  <c r="AK54" i="13"/>
  <c r="AJ54" i="13"/>
  <c r="AH54" i="13"/>
  <c r="AG54" i="13"/>
  <c r="AE54" i="13"/>
  <c r="AC54" i="13"/>
  <c r="Z54" i="13"/>
  <c r="Y54" i="13"/>
  <c r="X54" i="13"/>
  <c r="W54" i="13"/>
  <c r="V54" i="13"/>
  <c r="U54" i="13"/>
  <c r="T54" i="13"/>
  <c r="R54" i="13"/>
  <c r="Q54" i="13"/>
  <c r="P54" i="13"/>
  <c r="N54" i="13"/>
  <c r="A54" i="13"/>
  <c r="BB53" i="13"/>
  <c r="BA53" i="13"/>
  <c r="AO53" i="13"/>
  <c r="AN53" i="13"/>
  <c r="AM53" i="13"/>
  <c r="AK53" i="13"/>
  <c r="AJ53" i="13"/>
  <c r="AH53" i="13"/>
  <c r="AG53" i="13"/>
  <c r="AE53" i="13"/>
  <c r="AC53" i="13"/>
  <c r="Z53" i="13"/>
  <c r="Y53" i="13"/>
  <c r="X53" i="13"/>
  <c r="W53" i="13"/>
  <c r="V53" i="13"/>
  <c r="U53" i="13"/>
  <c r="T53" i="13"/>
  <c r="R53" i="13"/>
  <c r="Q53" i="13"/>
  <c r="P53" i="13"/>
  <c r="N53" i="13"/>
  <c r="A53" i="13"/>
  <c r="BB52" i="13"/>
  <c r="BA52" i="13"/>
  <c r="AO52" i="13"/>
  <c r="AN52" i="13"/>
  <c r="AM52" i="13"/>
  <c r="AK52" i="13"/>
  <c r="AJ52" i="13"/>
  <c r="AH52" i="13"/>
  <c r="AG52" i="13"/>
  <c r="AE52" i="13"/>
  <c r="AC52" i="13"/>
  <c r="Z52" i="13"/>
  <c r="Y52" i="13"/>
  <c r="X52" i="13"/>
  <c r="W52" i="13"/>
  <c r="V52" i="13"/>
  <c r="U52" i="13"/>
  <c r="T52" i="13"/>
  <c r="R52" i="13"/>
  <c r="Q52" i="13"/>
  <c r="P52" i="13"/>
  <c r="N52" i="13"/>
  <c r="A52" i="13"/>
  <c r="BB51" i="13"/>
  <c r="BA51" i="13"/>
  <c r="AO51" i="13"/>
  <c r="AN51" i="13"/>
  <c r="AM51" i="13"/>
  <c r="AK51" i="13"/>
  <c r="AJ51" i="13"/>
  <c r="AH51" i="13"/>
  <c r="AG51" i="13"/>
  <c r="AE51" i="13"/>
  <c r="AC51" i="13"/>
  <c r="Z51" i="13"/>
  <c r="Y51" i="13"/>
  <c r="X51" i="13"/>
  <c r="W51" i="13"/>
  <c r="V51" i="13"/>
  <c r="U51" i="13"/>
  <c r="T51" i="13"/>
  <c r="R51" i="13"/>
  <c r="Q51" i="13"/>
  <c r="P51" i="13"/>
  <c r="N51" i="13"/>
  <c r="A51" i="13"/>
  <c r="BB50" i="13"/>
  <c r="BA50" i="13"/>
  <c r="AO50" i="13"/>
  <c r="AN50" i="13"/>
  <c r="AM50" i="13"/>
  <c r="AK50" i="13"/>
  <c r="AJ50" i="13"/>
  <c r="AH50" i="13"/>
  <c r="AG50" i="13"/>
  <c r="AE50" i="13"/>
  <c r="AC50" i="13"/>
  <c r="Z50" i="13"/>
  <c r="Y50" i="13"/>
  <c r="X50" i="13"/>
  <c r="W50" i="13"/>
  <c r="V50" i="13"/>
  <c r="U50" i="13"/>
  <c r="T50" i="13"/>
  <c r="R50" i="13"/>
  <c r="Q50" i="13"/>
  <c r="P50" i="13"/>
  <c r="N50" i="13"/>
  <c r="A50" i="13"/>
  <c r="BB49" i="13"/>
  <c r="BA49" i="13"/>
  <c r="AO49" i="13"/>
  <c r="AN49" i="13"/>
  <c r="AM49" i="13"/>
  <c r="AK49" i="13"/>
  <c r="AJ49" i="13"/>
  <c r="AH49" i="13"/>
  <c r="AG49" i="13"/>
  <c r="AE49" i="13"/>
  <c r="AC49" i="13"/>
  <c r="Z49" i="13"/>
  <c r="Y49" i="13"/>
  <c r="X49" i="13"/>
  <c r="W49" i="13"/>
  <c r="V49" i="13"/>
  <c r="U49" i="13"/>
  <c r="T49" i="13"/>
  <c r="R49" i="13"/>
  <c r="Q49" i="13"/>
  <c r="P49" i="13"/>
  <c r="N49" i="13"/>
  <c r="A49" i="13"/>
  <c r="BB48" i="13"/>
  <c r="BA48" i="13"/>
  <c r="AO48" i="13"/>
  <c r="AN48" i="13"/>
  <c r="AM48" i="13"/>
  <c r="AK48" i="13"/>
  <c r="AJ48" i="13"/>
  <c r="AH48" i="13"/>
  <c r="AG48" i="13"/>
  <c r="AE48" i="13"/>
  <c r="AC48" i="13"/>
  <c r="Z48" i="13"/>
  <c r="Y48" i="13"/>
  <c r="X48" i="13"/>
  <c r="W48" i="13"/>
  <c r="V48" i="13"/>
  <c r="U48" i="13"/>
  <c r="T48" i="13"/>
  <c r="R48" i="13"/>
  <c r="Q48" i="13"/>
  <c r="P48" i="13"/>
  <c r="N48" i="13"/>
  <c r="A48" i="13"/>
  <c r="BB47" i="13"/>
  <c r="BA47" i="13"/>
  <c r="AO47" i="13"/>
  <c r="AN47" i="13"/>
  <c r="AM47" i="13"/>
  <c r="AK47" i="13"/>
  <c r="AJ47" i="13"/>
  <c r="AH47" i="13"/>
  <c r="AG47" i="13"/>
  <c r="AE47" i="13"/>
  <c r="AC47" i="13"/>
  <c r="Z47" i="13"/>
  <c r="Y47" i="13"/>
  <c r="X47" i="13"/>
  <c r="W47" i="13"/>
  <c r="V47" i="13"/>
  <c r="U47" i="13"/>
  <c r="T47" i="13"/>
  <c r="R47" i="13"/>
  <c r="Q47" i="13"/>
  <c r="P47" i="13"/>
  <c r="N47" i="13"/>
  <c r="A47" i="13"/>
  <c r="BB46" i="13"/>
  <c r="BA46" i="13"/>
  <c r="AO46" i="13"/>
  <c r="AN46" i="13"/>
  <c r="AM46" i="13"/>
  <c r="AK46" i="13"/>
  <c r="AJ46" i="13"/>
  <c r="AH46" i="13"/>
  <c r="AG46" i="13"/>
  <c r="AE46" i="13"/>
  <c r="AC46" i="13"/>
  <c r="Z46" i="13"/>
  <c r="Y46" i="13"/>
  <c r="X46" i="13"/>
  <c r="W46" i="13"/>
  <c r="V46" i="13"/>
  <c r="U46" i="13"/>
  <c r="T46" i="13"/>
  <c r="R46" i="13"/>
  <c r="Q46" i="13"/>
  <c r="P46" i="13"/>
  <c r="N46" i="13"/>
  <c r="A46" i="13"/>
  <c r="BB45" i="13"/>
  <c r="BA45" i="13"/>
  <c r="AO45" i="13"/>
  <c r="AN45" i="13"/>
  <c r="AM45" i="13"/>
  <c r="AK45" i="13"/>
  <c r="AJ45" i="13"/>
  <c r="AH45" i="13"/>
  <c r="AG45" i="13"/>
  <c r="AE45" i="13"/>
  <c r="AC45" i="13"/>
  <c r="Z45" i="13"/>
  <c r="Y45" i="13"/>
  <c r="X45" i="13"/>
  <c r="W45" i="13"/>
  <c r="V45" i="13"/>
  <c r="U45" i="13"/>
  <c r="T45" i="13"/>
  <c r="R45" i="13"/>
  <c r="Q45" i="13"/>
  <c r="P45" i="13"/>
  <c r="N45" i="13"/>
  <c r="A45" i="13"/>
  <c r="BB44" i="13"/>
  <c r="BA44" i="13"/>
  <c r="AO44" i="13"/>
  <c r="AN44" i="13"/>
  <c r="AM44" i="13"/>
  <c r="AK44" i="13"/>
  <c r="AJ44" i="13"/>
  <c r="AH44" i="13"/>
  <c r="AG44" i="13"/>
  <c r="AE44" i="13"/>
  <c r="AC44" i="13"/>
  <c r="Z44" i="13"/>
  <c r="Y44" i="13"/>
  <c r="X44" i="13"/>
  <c r="W44" i="13"/>
  <c r="V44" i="13"/>
  <c r="U44" i="13"/>
  <c r="T44" i="13"/>
  <c r="R44" i="13"/>
  <c r="Q44" i="13"/>
  <c r="P44" i="13"/>
  <c r="N44" i="13"/>
  <c r="A44" i="13"/>
  <c r="BB43" i="13"/>
  <c r="BA43" i="13"/>
  <c r="AO43" i="13"/>
  <c r="AN43" i="13"/>
  <c r="AM43" i="13"/>
  <c r="AK43" i="13"/>
  <c r="AJ43" i="13"/>
  <c r="AH43" i="13"/>
  <c r="AG43" i="13"/>
  <c r="AE43" i="13"/>
  <c r="AC43" i="13"/>
  <c r="Z43" i="13"/>
  <c r="Y43" i="13"/>
  <c r="X43" i="13"/>
  <c r="W43" i="13"/>
  <c r="V43" i="13"/>
  <c r="U43" i="13"/>
  <c r="T43" i="13"/>
  <c r="R43" i="13"/>
  <c r="Q43" i="13"/>
  <c r="P43" i="13"/>
  <c r="N43" i="13"/>
  <c r="A43" i="13"/>
  <c r="BB42" i="13"/>
  <c r="BA42" i="13"/>
  <c r="AO42" i="13"/>
  <c r="AN42" i="13"/>
  <c r="AM42" i="13"/>
  <c r="AK42" i="13"/>
  <c r="AJ42" i="13"/>
  <c r="AH42" i="13"/>
  <c r="AG42" i="13"/>
  <c r="AE42" i="13"/>
  <c r="AC42" i="13"/>
  <c r="Z42" i="13"/>
  <c r="Y42" i="13"/>
  <c r="X42" i="13"/>
  <c r="W42" i="13"/>
  <c r="V42" i="13"/>
  <c r="U42" i="13"/>
  <c r="T42" i="13"/>
  <c r="R42" i="13"/>
  <c r="Q42" i="13"/>
  <c r="P42" i="13"/>
  <c r="N42" i="13"/>
  <c r="A42" i="13"/>
  <c r="BB41" i="13"/>
  <c r="BA41" i="13"/>
  <c r="AO41" i="13"/>
  <c r="AN41" i="13"/>
  <c r="AM41" i="13"/>
  <c r="AK41" i="13"/>
  <c r="AJ41" i="13"/>
  <c r="AH41" i="13"/>
  <c r="AG41" i="13"/>
  <c r="AE41" i="13"/>
  <c r="AC41" i="13"/>
  <c r="Z41" i="13"/>
  <c r="Y41" i="13"/>
  <c r="X41" i="13"/>
  <c r="W41" i="13"/>
  <c r="V41" i="13"/>
  <c r="U41" i="13"/>
  <c r="T41" i="13"/>
  <c r="R41" i="13"/>
  <c r="Q41" i="13"/>
  <c r="P41" i="13"/>
  <c r="N41" i="13"/>
  <c r="A41" i="13"/>
  <c r="BB40" i="13"/>
  <c r="BA40" i="13"/>
  <c r="AO40" i="13"/>
  <c r="AN40" i="13"/>
  <c r="AM40" i="13"/>
  <c r="AK40" i="13"/>
  <c r="AJ40" i="13"/>
  <c r="AH40" i="13"/>
  <c r="AG40" i="13"/>
  <c r="AE40" i="13"/>
  <c r="AC40" i="13"/>
  <c r="Z40" i="13"/>
  <c r="Y40" i="13"/>
  <c r="X40" i="13"/>
  <c r="W40" i="13"/>
  <c r="V40" i="13"/>
  <c r="U40" i="13"/>
  <c r="T40" i="13"/>
  <c r="R40" i="13"/>
  <c r="Q40" i="13"/>
  <c r="P40" i="13"/>
  <c r="N40" i="13"/>
  <c r="A40" i="13"/>
  <c r="BB39" i="13"/>
  <c r="BA39" i="13"/>
  <c r="AO39" i="13"/>
  <c r="AN39" i="13"/>
  <c r="AM39" i="13"/>
  <c r="AK39" i="13"/>
  <c r="AJ39" i="13"/>
  <c r="AH39" i="13"/>
  <c r="AG39" i="13"/>
  <c r="AE39" i="13"/>
  <c r="AC39" i="13"/>
  <c r="Z39" i="13"/>
  <c r="Y39" i="13"/>
  <c r="X39" i="13"/>
  <c r="W39" i="13"/>
  <c r="V39" i="13"/>
  <c r="U39" i="13"/>
  <c r="T39" i="13"/>
  <c r="R39" i="13"/>
  <c r="Q39" i="13"/>
  <c r="P39" i="13"/>
  <c r="N39" i="13"/>
  <c r="A39" i="13"/>
  <c r="BB38" i="13"/>
  <c r="BA38" i="13"/>
  <c r="AO38" i="13"/>
  <c r="AN38" i="13"/>
  <c r="AM38" i="13"/>
  <c r="AK38" i="13"/>
  <c r="AJ38" i="13"/>
  <c r="AH38" i="13"/>
  <c r="AG38" i="13"/>
  <c r="AE38" i="13"/>
  <c r="AC38" i="13"/>
  <c r="Z38" i="13"/>
  <c r="Y38" i="13"/>
  <c r="X38" i="13"/>
  <c r="W38" i="13"/>
  <c r="V38" i="13"/>
  <c r="U38" i="13"/>
  <c r="T38" i="13"/>
  <c r="R38" i="13"/>
  <c r="Q38" i="13"/>
  <c r="P38" i="13"/>
  <c r="N38" i="13"/>
  <c r="A38" i="13"/>
  <c r="BB37" i="13"/>
  <c r="BA37" i="13"/>
  <c r="AO37" i="13"/>
  <c r="AN37" i="13"/>
  <c r="AM37" i="13"/>
  <c r="AK37" i="13"/>
  <c r="AJ37" i="13"/>
  <c r="AH37" i="13"/>
  <c r="AG37" i="13"/>
  <c r="AE37" i="13"/>
  <c r="AC37" i="13"/>
  <c r="Z37" i="13"/>
  <c r="Y37" i="13"/>
  <c r="X37" i="13"/>
  <c r="W37" i="13"/>
  <c r="V37" i="13"/>
  <c r="U37" i="13"/>
  <c r="T37" i="13"/>
  <c r="R37" i="13"/>
  <c r="Q37" i="13"/>
  <c r="P37" i="13"/>
  <c r="N37" i="13"/>
  <c r="A37" i="13"/>
  <c r="BB36" i="13"/>
  <c r="BA36" i="13"/>
  <c r="AO36" i="13"/>
  <c r="AN36" i="13"/>
  <c r="AM36" i="13"/>
  <c r="AK36" i="13"/>
  <c r="AJ36" i="13"/>
  <c r="AH36" i="13"/>
  <c r="AG36" i="13"/>
  <c r="AE36" i="13"/>
  <c r="AC36" i="13"/>
  <c r="Z36" i="13"/>
  <c r="Y36" i="13"/>
  <c r="X36" i="13"/>
  <c r="W36" i="13"/>
  <c r="V36" i="13"/>
  <c r="U36" i="13"/>
  <c r="T36" i="13"/>
  <c r="R36" i="13"/>
  <c r="Q36" i="13"/>
  <c r="P36" i="13"/>
  <c r="N36" i="13"/>
  <c r="A36" i="13"/>
  <c r="BB35" i="13"/>
  <c r="BA35" i="13"/>
  <c r="AO35" i="13"/>
  <c r="AN35" i="13"/>
  <c r="AM35" i="13"/>
  <c r="AK35" i="13"/>
  <c r="AJ35" i="13"/>
  <c r="AH35" i="13"/>
  <c r="AG35" i="13"/>
  <c r="AE35" i="13"/>
  <c r="AC35" i="13"/>
  <c r="Z35" i="13"/>
  <c r="Y35" i="13"/>
  <c r="X35" i="13"/>
  <c r="W35" i="13"/>
  <c r="V35" i="13"/>
  <c r="U35" i="13"/>
  <c r="T35" i="13"/>
  <c r="R35" i="13"/>
  <c r="Q35" i="13"/>
  <c r="P35" i="13"/>
  <c r="N35" i="13"/>
  <c r="A35" i="13"/>
  <c r="BB34" i="13"/>
  <c r="BA34" i="13"/>
  <c r="AO34" i="13"/>
  <c r="AN34" i="13"/>
  <c r="AM34" i="13"/>
  <c r="AK34" i="13"/>
  <c r="AJ34" i="13"/>
  <c r="AH34" i="13"/>
  <c r="AG34" i="13"/>
  <c r="AE34" i="13"/>
  <c r="AC34" i="13"/>
  <c r="Z34" i="13"/>
  <c r="Y34" i="13"/>
  <c r="X34" i="13"/>
  <c r="W34" i="13"/>
  <c r="V34" i="13"/>
  <c r="U34" i="13"/>
  <c r="T34" i="13"/>
  <c r="R34" i="13"/>
  <c r="Q34" i="13"/>
  <c r="P34" i="13"/>
  <c r="N34" i="13"/>
  <c r="A34" i="13"/>
  <c r="BB33" i="13"/>
  <c r="BA33" i="13"/>
  <c r="AO33" i="13"/>
  <c r="AN33" i="13"/>
  <c r="AM33" i="13"/>
  <c r="AK33" i="13"/>
  <c r="AJ33" i="13"/>
  <c r="AH33" i="13"/>
  <c r="AG33" i="13"/>
  <c r="AE33" i="13"/>
  <c r="AC33" i="13"/>
  <c r="Z33" i="13"/>
  <c r="Y33" i="13"/>
  <c r="X33" i="13"/>
  <c r="W33" i="13"/>
  <c r="V33" i="13"/>
  <c r="U33" i="13"/>
  <c r="T33" i="13"/>
  <c r="R33" i="13"/>
  <c r="Q33" i="13"/>
  <c r="P33" i="13"/>
  <c r="N33" i="13"/>
  <c r="A33" i="13"/>
  <c r="BB32" i="13"/>
  <c r="BA32" i="13"/>
  <c r="AO32" i="13"/>
  <c r="AN32" i="13"/>
  <c r="AM32" i="13"/>
  <c r="AK32" i="13"/>
  <c r="AJ32" i="13"/>
  <c r="AH32" i="13"/>
  <c r="AG32" i="13"/>
  <c r="AE32" i="13"/>
  <c r="AC32" i="13"/>
  <c r="Z32" i="13"/>
  <c r="Y32" i="13"/>
  <c r="X32" i="13"/>
  <c r="W32" i="13"/>
  <c r="V32" i="13"/>
  <c r="U32" i="13"/>
  <c r="T32" i="13"/>
  <c r="R32" i="13"/>
  <c r="Q32" i="13"/>
  <c r="P32" i="13"/>
  <c r="N32" i="13"/>
  <c r="A32" i="13"/>
  <c r="BB31" i="13"/>
  <c r="BA31" i="13"/>
  <c r="AO31" i="13"/>
  <c r="AN31" i="13"/>
  <c r="AM31" i="13"/>
  <c r="AK31" i="13"/>
  <c r="AJ31" i="13"/>
  <c r="AH31" i="13"/>
  <c r="AG31" i="13"/>
  <c r="AE31" i="13"/>
  <c r="AC31" i="13"/>
  <c r="Z31" i="13"/>
  <c r="Y31" i="13"/>
  <c r="X31" i="13"/>
  <c r="W31" i="13"/>
  <c r="V31" i="13"/>
  <c r="U31" i="13"/>
  <c r="T31" i="13"/>
  <c r="R31" i="13"/>
  <c r="Q31" i="13"/>
  <c r="P31" i="13"/>
  <c r="N31" i="13"/>
  <c r="A31" i="13"/>
  <c r="BB30" i="13"/>
  <c r="BA30" i="13"/>
  <c r="AO30" i="13"/>
  <c r="AN30" i="13"/>
  <c r="AM30" i="13"/>
  <c r="AK30" i="13"/>
  <c r="AJ30" i="13"/>
  <c r="AH30" i="13"/>
  <c r="AG30" i="13"/>
  <c r="AE30" i="13"/>
  <c r="AC30" i="13"/>
  <c r="Z30" i="13"/>
  <c r="Y30" i="13"/>
  <c r="X30" i="13"/>
  <c r="W30" i="13"/>
  <c r="V30" i="13"/>
  <c r="U30" i="13"/>
  <c r="T30" i="13"/>
  <c r="R30" i="13"/>
  <c r="Q30" i="13"/>
  <c r="P30" i="13"/>
  <c r="N30" i="13"/>
  <c r="A30" i="13"/>
  <c r="BB29" i="13"/>
  <c r="BA29" i="13"/>
  <c r="AO29" i="13"/>
  <c r="AN29" i="13"/>
  <c r="AM29" i="13"/>
  <c r="AK29" i="13"/>
  <c r="AJ29" i="13"/>
  <c r="AH29" i="13"/>
  <c r="AG29" i="13"/>
  <c r="AE29" i="13"/>
  <c r="AC29" i="13"/>
  <c r="Z29" i="13"/>
  <c r="Y29" i="13"/>
  <c r="X29" i="13"/>
  <c r="W29" i="13"/>
  <c r="V29" i="13"/>
  <c r="U29" i="13"/>
  <c r="T29" i="13"/>
  <c r="R29" i="13"/>
  <c r="Q29" i="13"/>
  <c r="P29" i="13"/>
  <c r="N29" i="13"/>
  <c r="A29" i="13"/>
  <c r="BB28" i="13"/>
  <c r="BA28" i="13"/>
  <c r="AO28" i="13"/>
  <c r="AN28" i="13"/>
  <c r="AM28" i="13"/>
  <c r="AK28" i="13"/>
  <c r="AJ28" i="13"/>
  <c r="AH28" i="13"/>
  <c r="AG28" i="13"/>
  <c r="AE28" i="13"/>
  <c r="AC28" i="13"/>
  <c r="Z28" i="13"/>
  <c r="Y28" i="13"/>
  <c r="X28" i="13"/>
  <c r="W28" i="13"/>
  <c r="V28" i="13"/>
  <c r="U28" i="13"/>
  <c r="T28" i="13"/>
  <c r="R28" i="13"/>
  <c r="Q28" i="13"/>
  <c r="P28" i="13"/>
  <c r="N28" i="13"/>
  <c r="A28" i="13"/>
  <c r="BB27" i="13"/>
  <c r="BA27" i="13"/>
  <c r="AO27" i="13"/>
  <c r="AN27" i="13"/>
  <c r="AM27" i="13"/>
  <c r="AK27" i="13"/>
  <c r="AJ27" i="13"/>
  <c r="AH27" i="13"/>
  <c r="AG27" i="13"/>
  <c r="AE27" i="13"/>
  <c r="AC27" i="13"/>
  <c r="Z27" i="13"/>
  <c r="Y27" i="13"/>
  <c r="X27" i="13"/>
  <c r="W27" i="13"/>
  <c r="V27" i="13"/>
  <c r="U27" i="13"/>
  <c r="T27" i="13"/>
  <c r="R27" i="13"/>
  <c r="Q27" i="13"/>
  <c r="P27" i="13"/>
  <c r="N27" i="13"/>
  <c r="A27" i="13"/>
  <c r="BB26" i="13"/>
  <c r="BA26" i="13"/>
  <c r="AO26" i="13"/>
  <c r="AN26" i="13"/>
  <c r="AM26" i="13"/>
  <c r="AK26" i="13"/>
  <c r="AJ26" i="13"/>
  <c r="AH26" i="13"/>
  <c r="AG26" i="13"/>
  <c r="AE26" i="13"/>
  <c r="AC26" i="13"/>
  <c r="Z26" i="13"/>
  <c r="Y26" i="13"/>
  <c r="X26" i="13"/>
  <c r="W26" i="13"/>
  <c r="V26" i="13"/>
  <c r="U26" i="13"/>
  <c r="T26" i="13"/>
  <c r="R26" i="13"/>
  <c r="Q26" i="13"/>
  <c r="P26" i="13"/>
  <c r="N26" i="13"/>
  <c r="A26" i="13"/>
  <c r="BB25" i="13"/>
  <c r="BA25" i="13"/>
  <c r="AO25" i="13"/>
  <c r="AN25" i="13"/>
  <c r="AM25" i="13"/>
  <c r="AK25" i="13"/>
  <c r="AJ25" i="13"/>
  <c r="AH25" i="13"/>
  <c r="AG25" i="13"/>
  <c r="AE25" i="13"/>
  <c r="AC25" i="13"/>
  <c r="Z25" i="13"/>
  <c r="Y25" i="13"/>
  <c r="X25" i="13"/>
  <c r="W25" i="13"/>
  <c r="V25" i="13"/>
  <c r="U25" i="13"/>
  <c r="T25" i="13"/>
  <c r="R25" i="13"/>
  <c r="Q25" i="13"/>
  <c r="P25" i="13"/>
  <c r="N25" i="13"/>
  <c r="A25" i="13"/>
  <c r="BB24" i="13"/>
  <c r="BA24" i="13"/>
  <c r="AO24" i="13"/>
  <c r="AN24" i="13"/>
  <c r="AM24" i="13"/>
  <c r="AK24" i="13"/>
  <c r="AJ24" i="13"/>
  <c r="AH24" i="13"/>
  <c r="AG24" i="13"/>
  <c r="AE24" i="13"/>
  <c r="AC24" i="13"/>
  <c r="Z24" i="13"/>
  <c r="Y24" i="13"/>
  <c r="X24" i="13"/>
  <c r="W24" i="13"/>
  <c r="V24" i="13"/>
  <c r="U24" i="13"/>
  <c r="T24" i="13"/>
  <c r="R24" i="13"/>
  <c r="Q24" i="13"/>
  <c r="P24" i="13"/>
  <c r="N24" i="13"/>
  <c r="A24" i="13"/>
  <c r="BB23" i="13"/>
  <c r="BA23" i="13"/>
  <c r="AO23" i="13"/>
  <c r="AN23" i="13"/>
  <c r="AM23" i="13"/>
  <c r="AK23" i="13"/>
  <c r="AJ23" i="13"/>
  <c r="AH23" i="13"/>
  <c r="AG23" i="13"/>
  <c r="AE23" i="13"/>
  <c r="AC23" i="13"/>
  <c r="Z23" i="13"/>
  <c r="Y23" i="13"/>
  <c r="X23" i="13"/>
  <c r="W23" i="13"/>
  <c r="V23" i="13"/>
  <c r="U23" i="13"/>
  <c r="T23" i="13"/>
  <c r="R23" i="13"/>
  <c r="Q23" i="13"/>
  <c r="P23" i="13"/>
  <c r="N23" i="13"/>
  <c r="A23" i="13"/>
  <c r="BB22" i="13"/>
  <c r="BA22" i="13"/>
  <c r="AO22" i="13"/>
  <c r="AN22" i="13"/>
  <c r="AM22" i="13"/>
  <c r="AK22" i="13"/>
  <c r="AJ22" i="13"/>
  <c r="AH22" i="13"/>
  <c r="AG22" i="13"/>
  <c r="AE22" i="13"/>
  <c r="AC22" i="13"/>
  <c r="Z22" i="13"/>
  <c r="Y22" i="13"/>
  <c r="X22" i="13"/>
  <c r="W22" i="13"/>
  <c r="V22" i="13"/>
  <c r="U22" i="13"/>
  <c r="T22" i="13"/>
  <c r="R22" i="13"/>
  <c r="Q22" i="13"/>
  <c r="P22" i="13"/>
  <c r="N22" i="13"/>
  <c r="A22" i="13"/>
  <c r="BB21" i="13"/>
  <c r="BA21" i="13"/>
  <c r="AO21" i="13"/>
  <c r="AN21" i="13"/>
  <c r="AM21" i="13"/>
  <c r="AK21" i="13"/>
  <c r="AJ21" i="13"/>
  <c r="AH21" i="13"/>
  <c r="AG21" i="13"/>
  <c r="AE21" i="13"/>
  <c r="AC21" i="13"/>
  <c r="Z21" i="13"/>
  <c r="Y21" i="13"/>
  <c r="X21" i="13"/>
  <c r="W21" i="13"/>
  <c r="V21" i="13"/>
  <c r="U21" i="13"/>
  <c r="T21" i="13"/>
  <c r="R21" i="13"/>
  <c r="Q21" i="13"/>
  <c r="P21" i="13"/>
  <c r="N21" i="13"/>
  <c r="A21" i="13"/>
  <c r="BB20" i="13"/>
  <c r="BA20" i="13"/>
  <c r="AO20" i="13"/>
  <c r="AN20" i="13"/>
  <c r="AM20" i="13"/>
  <c r="AK20" i="13"/>
  <c r="AJ20" i="13"/>
  <c r="AH20" i="13"/>
  <c r="AG20" i="13"/>
  <c r="AE20" i="13"/>
  <c r="AC20" i="13"/>
  <c r="Z20" i="13"/>
  <c r="Y20" i="13"/>
  <c r="X20" i="13"/>
  <c r="W20" i="13"/>
  <c r="V20" i="13"/>
  <c r="U20" i="13"/>
  <c r="T20" i="13"/>
  <c r="R20" i="13"/>
  <c r="Q20" i="13"/>
  <c r="P20" i="13"/>
  <c r="N20" i="13"/>
  <c r="A20" i="13"/>
  <c r="BB19" i="13"/>
  <c r="BA19" i="13"/>
  <c r="AO19" i="13"/>
  <c r="AN19" i="13"/>
  <c r="AM19" i="13"/>
  <c r="AK19" i="13"/>
  <c r="AJ19" i="13"/>
  <c r="AH19" i="13"/>
  <c r="AG19" i="13"/>
  <c r="AE19" i="13"/>
  <c r="AC19" i="13"/>
  <c r="Z19" i="13"/>
  <c r="Y19" i="13"/>
  <c r="X19" i="13"/>
  <c r="W19" i="13"/>
  <c r="V19" i="13"/>
  <c r="U19" i="13"/>
  <c r="T19" i="13"/>
  <c r="R19" i="13"/>
  <c r="Q19" i="13"/>
  <c r="P19" i="13"/>
  <c r="N19" i="13"/>
  <c r="A19" i="13"/>
  <c r="BB18" i="13"/>
  <c r="BA18" i="13"/>
  <c r="AO18" i="13"/>
  <c r="AN18" i="13"/>
  <c r="AM18" i="13"/>
  <c r="AK18" i="13"/>
  <c r="AJ18" i="13"/>
  <c r="AH18" i="13"/>
  <c r="AG18" i="13"/>
  <c r="AE18" i="13"/>
  <c r="AC18" i="13"/>
  <c r="Z18" i="13"/>
  <c r="Y18" i="13"/>
  <c r="X18" i="13"/>
  <c r="W18" i="13"/>
  <c r="V18" i="13"/>
  <c r="U18" i="13"/>
  <c r="T18" i="13"/>
  <c r="R18" i="13"/>
  <c r="Q18" i="13"/>
  <c r="P18" i="13"/>
  <c r="N18" i="13"/>
  <c r="A18" i="13"/>
  <c r="BB17" i="13"/>
  <c r="BA17" i="13"/>
  <c r="AO17" i="13"/>
  <c r="AN17" i="13"/>
  <c r="AM17" i="13"/>
  <c r="AK17" i="13"/>
  <c r="AJ17" i="13"/>
  <c r="AH17" i="13"/>
  <c r="AG17" i="13"/>
  <c r="AE17" i="13"/>
  <c r="AC17" i="13"/>
  <c r="Z17" i="13"/>
  <c r="Y17" i="13"/>
  <c r="X17" i="13"/>
  <c r="W17" i="13"/>
  <c r="V17" i="13"/>
  <c r="U17" i="13"/>
  <c r="T17" i="13"/>
  <c r="R17" i="13"/>
  <c r="Q17" i="13"/>
  <c r="P17" i="13"/>
  <c r="N17" i="13"/>
  <c r="A17" i="13"/>
  <c r="BB16" i="13"/>
  <c r="BA16" i="13"/>
  <c r="AO16" i="13"/>
  <c r="AN16" i="13"/>
  <c r="AM16" i="13"/>
  <c r="AK16" i="13"/>
  <c r="AJ16" i="13"/>
  <c r="AH16" i="13"/>
  <c r="AG16" i="13"/>
  <c r="AE16" i="13"/>
  <c r="AC16" i="13"/>
  <c r="Z16" i="13"/>
  <c r="Y16" i="13"/>
  <c r="X16" i="13"/>
  <c r="W16" i="13"/>
  <c r="V16" i="13"/>
  <c r="U16" i="13"/>
  <c r="T16" i="13"/>
  <c r="R16" i="13"/>
  <c r="Q16" i="13"/>
  <c r="P16" i="13"/>
  <c r="N16" i="13"/>
  <c r="A16" i="13"/>
  <c r="BB15" i="13"/>
  <c r="BA15" i="13"/>
  <c r="AO15" i="13"/>
  <c r="AN15" i="13"/>
  <c r="AM15" i="13"/>
  <c r="AK15" i="13"/>
  <c r="AJ15" i="13"/>
  <c r="AH15" i="13"/>
  <c r="AG15" i="13"/>
  <c r="AE15" i="13"/>
  <c r="AC15" i="13"/>
  <c r="Z15" i="13"/>
  <c r="Y15" i="13"/>
  <c r="X15" i="13"/>
  <c r="W15" i="13"/>
  <c r="V15" i="13"/>
  <c r="U15" i="13"/>
  <c r="T15" i="13"/>
  <c r="R15" i="13"/>
  <c r="Q15" i="13"/>
  <c r="P15" i="13"/>
  <c r="N15" i="13"/>
  <c r="A15" i="13"/>
  <c r="BB14" i="13"/>
  <c r="BA14" i="13"/>
  <c r="AO14" i="13"/>
  <c r="AN14" i="13"/>
  <c r="AM14" i="13"/>
  <c r="AK14" i="13"/>
  <c r="AJ14" i="13"/>
  <c r="AH14" i="13"/>
  <c r="AG14" i="13"/>
  <c r="AE14" i="13"/>
  <c r="AC14" i="13"/>
  <c r="Z14" i="13"/>
  <c r="Y14" i="13"/>
  <c r="X14" i="13"/>
  <c r="W14" i="13"/>
  <c r="V14" i="13"/>
  <c r="U14" i="13"/>
  <c r="T14" i="13"/>
  <c r="R14" i="13"/>
  <c r="Q14" i="13"/>
  <c r="P14" i="13"/>
  <c r="N14" i="13"/>
  <c r="A14" i="13"/>
  <c r="BB13" i="13"/>
  <c r="BA13" i="13"/>
  <c r="AO13" i="13"/>
  <c r="AN13" i="13"/>
  <c r="AM13" i="13"/>
  <c r="AK13" i="13"/>
  <c r="AJ13" i="13"/>
  <c r="AH13" i="13"/>
  <c r="AG13" i="13"/>
  <c r="AE13" i="13"/>
  <c r="AC13" i="13"/>
  <c r="Z13" i="13"/>
  <c r="Y13" i="13"/>
  <c r="X13" i="13"/>
  <c r="W13" i="13"/>
  <c r="V13" i="13"/>
  <c r="U13" i="13"/>
  <c r="T13" i="13"/>
  <c r="R13" i="13"/>
  <c r="Q13" i="13"/>
  <c r="P13" i="13"/>
  <c r="N13" i="13"/>
  <c r="A13" i="13"/>
  <c r="BB12" i="13"/>
  <c r="BA12" i="13"/>
  <c r="AO12" i="13"/>
  <c r="AN12" i="13"/>
  <c r="AM12" i="13"/>
  <c r="AK12" i="13"/>
  <c r="AJ12" i="13"/>
  <c r="AH12" i="13"/>
  <c r="AG12" i="13"/>
  <c r="AE12" i="13"/>
  <c r="AC12" i="13"/>
  <c r="Z12" i="13"/>
  <c r="Y12" i="13"/>
  <c r="X12" i="13"/>
  <c r="W12" i="13"/>
  <c r="V12" i="13"/>
  <c r="U12" i="13"/>
  <c r="T12" i="13"/>
  <c r="R12" i="13"/>
  <c r="Q12" i="13"/>
  <c r="P12" i="13"/>
  <c r="N12" i="13"/>
  <c r="A12" i="13"/>
  <c r="BB11" i="13"/>
  <c r="BA11" i="13"/>
  <c r="AO11" i="13"/>
  <c r="AN11" i="13"/>
  <c r="AM11" i="13"/>
  <c r="AK11" i="13"/>
  <c r="AJ11" i="13"/>
  <c r="AH11" i="13"/>
  <c r="AG11" i="13"/>
  <c r="AE11" i="13"/>
  <c r="AC11" i="13"/>
  <c r="Z11" i="13"/>
  <c r="Y11" i="13"/>
  <c r="X11" i="13"/>
  <c r="W11" i="13"/>
  <c r="V11" i="13"/>
  <c r="U11" i="13"/>
  <c r="T11" i="13"/>
  <c r="R11" i="13"/>
  <c r="Q11" i="13"/>
  <c r="P11" i="13"/>
  <c r="N11" i="13"/>
  <c r="A11" i="13"/>
  <c r="BB10" i="13"/>
  <c r="BA10" i="13"/>
  <c r="AO10" i="13"/>
  <c r="AN10" i="13"/>
  <c r="AM10" i="13"/>
  <c r="AK10" i="13"/>
  <c r="AJ10" i="13"/>
  <c r="AH10" i="13"/>
  <c r="AG10" i="13"/>
  <c r="AE10" i="13"/>
  <c r="AC10" i="13"/>
  <c r="Z10" i="13"/>
  <c r="Y10" i="13"/>
  <c r="X10" i="13"/>
  <c r="W10" i="13"/>
  <c r="V10" i="13"/>
  <c r="U10" i="13"/>
  <c r="T10" i="13"/>
  <c r="R10" i="13"/>
  <c r="Q10" i="13"/>
  <c r="P10" i="13"/>
  <c r="N10" i="13"/>
  <c r="A10" i="13"/>
  <c r="BB9" i="13"/>
  <c r="BA9" i="13"/>
  <c r="AO9" i="13"/>
  <c r="AN9" i="13"/>
  <c r="AM9" i="13"/>
  <c r="AK9" i="13"/>
  <c r="AJ9" i="13"/>
  <c r="AH9" i="13"/>
  <c r="AG9" i="13"/>
  <c r="AE9" i="13"/>
  <c r="AC9" i="13"/>
  <c r="Z9" i="13"/>
  <c r="Y9" i="13"/>
  <c r="X9" i="13"/>
  <c r="W9" i="13"/>
  <c r="V9" i="13"/>
  <c r="U9" i="13"/>
  <c r="T9" i="13"/>
  <c r="R9" i="13"/>
  <c r="Q9" i="13"/>
  <c r="P9" i="13"/>
  <c r="N9" i="13"/>
  <c r="A9" i="13"/>
  <c r="BB8" i="13"/>
  <c r="BA8" i="13"/>
  <c r="AO8" i="13"/>
  <c r="AN8" i="13"/>
  <c r="AM8" i="13"/>
  <c r="AK8" i="13"/>
  <c r="AJ8" i="13"/>
  <c r="AH8" i="13"/>
  <c r="AG8" i="13"/>
  <c r="AE8" i="13"/>
  <c r="AC8" i="13"/>
  <c r="Z8" i="13"/>
  <c r="Y8" i="13"/>
  <c r="X8" i="13"/>
  <c r="W8" i="13"/>
  <c r="V8" i="13"/>
  <c r="U8" i="13"/>
  <c r="T8" i="13"/>
  <c r="R8" i="13"/>
  <c r="Q8" i="13"/>
  <c r="P8" i="13"/>
  <c r="N8" i="13"/>
  <c r="A8" i="13"/>
  <c r="BB7" i="13"/>
  <c r="BA7" i="13"/>
  <c r="AO7" i="13"/>
  <c r="AN7" i="13"/>
  <c r="AM7" i="13"/>
  <c r="AK7" i="13"/>
  <c r="AJ7" i="13"/>
  <c r="AH7" i="13"/>
  <c r="AG7" i="13"/>
  <c r="AE7" i="13"/>
  <c r="AC7" i="13"/>
  <c r="Z7" i="13"/>
  <c r="Y7" i="13"/>
  <c r="X7" i="13"/>
  <c r="W7" i="13"/>
  <c r="V7" i="13"/>
  <c r="U7" i="13"/>
  <c r="T7" i="13"/>
  <c r="R7" i="13"/>
  <c r="Q7" i="13"/>
  <c r="P7" i="13"/>
  <c r="N7" i="13"/>
  <c r="A7" i="13"/>
  <c r="BB6" i="13"/>
  <c r="BA6" i="13"/>
  <c r="AO6" i="13"/>
  <c r="AN6" i="13"/>
  <c r="AM6" i="13"/>
  <c r="AK6" i="13"/>
  <c r="AJ6" i="13"/>
  <c r="AH6" i="13"/>
  <c r="AG6" i="13"/>
  <c r="AE6" i="13"/>
  <c r="AC6" i="13"/>
  <c r="Z6" i="13"/>
  <c r="Y6" i="13"/>
  <c r="X6" i="13"/>
  <c r="W6" i="13"/>
  <c r="V6" i="13"/>
  <c r="U6" i="13"/>
  <c r="T6" i="13"/>
  <c r="R6" i="13"/>
  <c r="Q6" i="13"/>
  <c r="P6" i="13"/>
  <c r="N6" i="13"/>
  <c r="A6" i="13"/>
  <c r="BB5" i="13"/>
  <c r="BA5" i="13"/>
  <c r="AO5" i="13"/>
  <c r="AN5" i="13"/>
  <c r="AM5" i="13"/>
  <c r="AK5" i="13"/>
  <c r="AJ5" i="13"/>
  <c r="AH5" i="13"/>
  <c r="AG5" i="13"/>
  <c r="AE5" i="13"/>
  <c r="AC5" i="13"/>
  <c r="Z5" i="13"/>
  <c r="Y5" i="13"/>
  <c r="X5" i="13"/>
  <c r="W5" i="13"/>
  <c r="V5" i="13"/>
  <c r="U5" i="13"/>
  <c r="T5" i="13"/>
  <c r="R5" i="13"/>
  <c r="Q5" i="13"/>
  <c r="P5" i="13"/>
  <c r="N5" i="13"/>
  <c r="A5" i="13"/>
  <c r="BB4" i="13"/>
  <c r="BA4" i="13"/>
  <c r="AO4" i="13"/>
  <c r="AN4" i="13"/>
  <c r="AM4" i="13"/>
  <c r="AK4" i="13"/>
  <c r="AJ4" i="13"/>
  <c r="AH4" i="13"/>
  <c r="AG4" i="13"/>
  <c r="AE4" i="13"/>
  <c r="AC4" i="13"/>
  <c r="Z4" i="13"/>
  <c r="Y4" i="13"/>
  <c r="X4" i="13"/>
  <c r="W4" i="13"/>
  <c r="V4" i="13"/>
  <c r="U4" i="13"/>
  <c r="T4" i="13"/>
  <c r="R4" i="13"/>
  <c r="Q4" i="13"/>
  <c r="P4" i="13"/>
  <c r="N4" i="13"/>
  <c r="A4" i="13"/>
  <c r="BB3" i="13"/>
  <c r="BA3" i="13"/>
  <c r="AO3" i="13"/>
  <c r="AN3" i="13"/>
  <c r="AM3" i="13"/>
  <c r="AK3" i="13"/>
  <c r="AJ3" i="13"/>
  <c r="AH3" i="13"/>
  <c r="AG3" i="13"/>
  <c r="AE3" i="13"/>
  <c r="AC3" i="13"/>
  <c r="Z3" i="13"/>
  <c r="Y3" i="13"/>
  <c r="X3" i="13"/>
  <c r="W3" i="13"/>
  <c r="V3" i="13"/>
  <c r="U3" i="13"/>
  <c r="T3" i="13"/>
  <c r="R3" i="13"/>
  <c r="Q3" i="13"/>
  <c r="P3" i="13"/>
  <c r="N3" i="13"/>
  <c r="A3" i="13"/>
  <c r="BA2" i="13"/>
  <c r="BB2" i="13" s="1"/>
  <c r="AM2" i="13"/>
  <c r="AG2" i="13"/>
  <c r="AE2" i="13"/>
  <c r="AC2" i="13"/>
  <c r="U2" i="13"/>
  <c r="R2" i="13"/>
  <c r="Q2" i="13"/>
  <c r="N2" i="13"/>
  <c r="W2" i="13" s="1"/>
  <c r="A2" i="13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P2" i="13" l="1"/>
  <c r="T2" i="13"/>
  <c r="Z2" i="13"/>
  <c r="Y2" i="13"/>
  <c r="X2" i="13"/>
  <c r="V2" i="13"/>
  <c r="AK2" i="13"/>
  <c r="AJ2" i="13"/>
  <c r="AH2" i="13" l="1"/>
  <c r="AN2" i="13"/>
  <c r="AO2" i="13" l="1"/>
</calcChain>
</file>

<file path=xl/sharedStrings.xml><?xml version="1.0" encoding="utf-8"?>
<sst xmlns="http://schemas.openxmlformats.org/spreadsheetml/2006/main" count="2433" uniqueCount="243">
  <si>
    <t>ฐานข้อมูลราคา งานจดทะเบียนรถ (Auto-Price Workbook)</t>
  </si>
  <si>
    <t/>
  </si>
  <si>
    <t>โครงสร้างไฟล์นี้ออกแบบเป็น "ฐานข้อมูล" ง่าย ๆ ใน Excel แบ่งเป็น 2 กลุ่มชีต:</t>
  </si>
  <si>
    <t>1) ชีตตารางราคา/มาสเตอร์ (Fee_... และ M_...) เก็บ "รายการราคา" แยกตามประเภทรถ/ยี่ห้อ</t>
  </si>
  <si>
    <t xml:space="preserve">   เหมือนเป็นตารางฐานข้อมูลที่โปรแกรมเมอร์จะ import เข้าโปรแกรมทีหลัง</t>
  </si>
  <si>
    <t xml:space="preserve">   -&gt; แก้ตัวเลขราคาที่ชีตเหล่านี้ที่เดียว ราคาทุกจุดในไฟล์จะอัปเดตตาม</t>
  </si>
  <si>
    <t>2) ชีต "บันทึกงาน" คือหน้ากรอกงานจริง 1 แถว = 1 คัน/1 งาน</t>
  </si>
  <si>
    <t xml:space="preserve">   ช่องพื้นเหลือง/ตัวอักษรสีน้ำเงิน = ช่องที่ต้องกรอกเอง (มี dropdown ให้เลือก)</t>
  </si>
  <si>
    <t xml:space="preserve">   ช่องตัวอักษรสีดำ = สูตรคำนวณราคาอัตโนมัติ ห้ามพิมพ์ทับ</t>
  </si>
  <si>
    <t>วิธีที่ราคา "ขึ้นอัตโนมัติ": ทุกครั้งที่เลือก ประเภทรถ/ยี่ห้อ/จังหวัด ในชีตบันทึกงาน</t>
  </si>
  <si>
    <t>สูตร INDEX/MATCH จะไปค้นราคาในชีต Fee_... ให้เอง (หลักการเดียวกับ VLOOKUP) แล้วเติมราคาให้</t>
  </si>
  <si>
    <t>ชีตที่ยังไม่มีข้อมูลครบ (ต้องกรอกเพิ่มเอง ตามที่ยังไม่ได้ให้ข้อมูลมา):</t>
  </si>
  <si>
    <t xml:space="preserve">  - Fee_ตรวจรถ_ตจว: ค่าตรวจรถต่างจังหวัด รายจังหวัด (เตรียมตารางว่างไว้ให้ 77 จังหวัดแล้ว)</t>
  </si>
  <si>
    <t xml:space="preserve">  - Fee_รถยนต์_Bill แถว "ค่าภาษีรถยนต์": ยังไม่มีสูตรคำนวณภาษีตาม CC/น้ำหนัก/เชื้อเพลิง</t>
  </si>
  <si>
    <t xml:space="preserve">  - Fee_รถยนต์_NoBill แถว "กระบะบรรทุกมีหลังคาแหนบ": ไม่มีราคาลงขันในข้อมูลที่ให้มา</t>
  </si>
  <si>
    <t>เมื่อมีข้อมูลเพิ่ม แจ้ง Claude/โปรแกรมเมอร์เพื่อเติมสูตร/ตัวเลขในชีตเหล่านี้ต่อได้เลย</t>
  </si>
  <si>
    <t>โครงสร้างคีย์ค้นหา (Key) ใช้รูปแบบ "ประเภทรถ|ยี่ห้อ" หรือ "จังหวัด|ประเภทรถ" คั่นด้วย |</t>
  </si>
  <si>
    <t>ประเภทรถ (13 รายการตามระบบเดิม)</t>
  </si>
  <si>
    <t>หมวด</t>
  </si>
  <si>
    <t>รย.12-น้อยกว่า 300cc</t>
  </si>
  <si>
    <t>รถจักรยานยนต์</t>
  </si>
  <si>
    <t>รย.12-300-799cc</t>
  </si>
  <si>
    <t>รย.12-800-999cc</t>
  </si>
  <si>
    <t>รย.12-1000cc ขึ้นไป</t>
  </si>
  <si>
    <t>รย.1-เก๋ง 2 ตอน</t>
  </si>
  <si>
    <t>รถยนต์</t>
  </si>
  <si>
    <t>รย.1-นั่ง 2 ตอน</t>
  </si>
  <si>
    <t>รย.1-นั่ง 3 ตอน</t>
  </si>
  <si>
    <t>รย.2-นั่ง 2 แถว</t>
  </si>
  <si>
    <t>รย.2-นั่ง 4 ตอน</t>
  </si>
  <si>
    <t>รย.3-กระบะบรรทุก</t>
  </si>
  <si>
    <t>รย.3-กระบะบรรทุกมีหลังคา</t>
  </si>
  <si>
    <t>รย.3-กระบะบรรทุกมีหลังคาแหนบ</t>
  </si>
  <si>
    <t>รย.3-ตู้บรรทุก</t>
  </si>
  <si>
    <t>ยี่ห้อ</t>
  </si>
  <si>
    <t>หมายเหตุ</t>
  </si>
  <si>
    <t>อื่นๆ</t>
  </si>
  <si>
    <t>ยี่ห้อทั่วไปทั้งหมด (ราคาตามอัตรามาตรฐาน)</t>
  </si>
  <si>
    <t>Benz</t>
  </si>
  <si>
    <t>มีอัตราตัดบัญชี/แจ้งย้าย/ตรวจรถแยกเฉพาะ (เฉพาะ รย.1-เก๋ง 2 ตอน)</t>
  </si>
  <si>
    <t>BMW</t>
  </si>
  <si>
    <t>Lexus</t>
  </si>
  <si>
    <t>Volvo</t>
  </si>
  <si>
    <t>จังหวัด (77 จังหวัด)</t>
  </si>
  <si>
    <t>กรุงเทพมหานคร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</si>
  <si>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</si>
  <si>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</si>
  <si>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</si>
  <si>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</si>
  <si>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</si>
  <si>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</si>
  <si>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</si>
  <si>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</si>
  <si>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</si>
  <si>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</si>
  <si>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</si>
  <si>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</si>
  <si>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</si>
  <si>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</si>
  <si>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</si>
  <si>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</si>
  <si>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</si>
  <si>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</si>
  <si>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</si>
  <si>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</si>
  <si>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</si>
  <si>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</si>
  <si>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</si>
  <si>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</si>
  <si>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</si>
  <si>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</si>
  <si>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</si>
  <si>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</si>
  <si>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</si>
  <si>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</si>
  <si>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</si>
  <si>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</si>
  <si>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</si>
  <si>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</si>
  <si>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</si>
  <si>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</si>
  <si>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</si>
  <si>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</si>
  <si>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</si>
  <si>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</si>
  <si>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</si>
  <si>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</si>
  <si>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</si>
  <si>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</si>
  <si>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</si>
  <si>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</si>
  <si>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</si>
  <si>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</si>
  <si>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</si>
  <si>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</si>
  <si>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</si>
  <si>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</si>
  <si>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</si>
  <si>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</si>
  <si>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</si>
  <si>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</si>
  <si>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</si>
  <si>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</si>
  <si>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</si>
  <si>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</si>
  <si>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</si>
  <si>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</si>
  <si>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</si>
  <si>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</si>
  <si>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</si>
  <si>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</si>
  <si>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</si>
  <si>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</si>
  <si>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</si>
  <si>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</si>
  <si>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</si>
  <si>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</si>
  <si>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</si>
  <si>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</si>
  <si>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</si>
  <si>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</si>
  <si>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ประเภทรถ</t>
  </si>
  <si>
    <t>Key (ประเภทรถ|ยี่ห้อ)</t>
  </si>
  <si>
    <t>ค่าตัดบัญชี (บาท/No bill)</t>
  </si>
  <si>
    <t>นำรถมาตรวจ</t>
  </si>
  <si>
    <t>ค่าแจ้งย้าย (บาท/No bill)</t>
  </si>
  <si>
    <t>หมายเหตุ: กรณีแจ้งย้าย จะมีค่า Bill เพิ่มอีกคันละ 5 บาท (คำนวณอัตโนมัติในชีตบันทึกงาน)</t>
  </si>
  <si>
    <t>ค่าตรวจรถ กทม. (บาท)</t>
  </si>
  <si>
    <t>หมายเหตุ: ใช้เฉพาะกรณีเป็นงานตัดบัญชี (Step 2) ตามเงื่อนไขที่ให้มา</t>
  </si>
  <si>
    <t>จังหวัด</t>
  </si>
  <si>
    <t>Key (จังหวัด|ประเภทรถ)</t>
  </si>
  <si>
    <t>ค่าตรวจรถ ต่างจังหวัด (บาท)</t>
  </si>
  <si>
    <t>ยังไม่มีข้อมูลราคา - กรอกคอลัมน์ D เพิ่มเองตามจังหวัด (ค่าว่าง = ยังไม่กรอก = คำนวณเป็น 0)</t>
  </si>
  <si>
    <t>รายการ</t>
  </si>
  <si>
    <t>ราคา (บาท)</t>
  </si>
  <si>
    <t>ค่าคำขอ (ปกติ)</t>
  </si>
  <si>
    <t>ใช้เมื่อจดในจังหวัดภูมิลำเนาของเจ้าของรถ</t>
  </si>
  <si>
    <t>ค่าคำขอ (ขอใช้จังหวัดอื่น)</t>
  </si>
  <si>
    <t>ใช้เมื่อจังหวัดที่จดทะเบียน (Step1) ต่างจากจังหวัดเจ้าของรถ</t>
  </si>
  <si>
    <t>ค่าธรรมเนียมอื่นๆ (ขอใช้จังหวัดอื่น)</t>
  </si>
  <si>
    <t>เพิ่มเฉพาะกรณีขอใช้จังหวัดอื่น</t>
  </si>
  <si>
    <t>ค่าตรวจสภาพรถ (Step4)</t>
  </si>
  <si>
    <t>ค่าแผ่นป้ายทะเบียนรถ</t>
  </si>
  <si>
    <t>ค่าใบคู่มือการจดทะเบียน</t>
  </si>
  <si>
    <t>ค่าภาษีรถยนต์</t>
  </si>
  <si>
    <t>ยังไม่ได้กำหนดสูตร (อิง CC/น้ำหนัก/ประเภทเชื้อเพลิง) - กรอกเองต่อคันในชีตบันทึกงาน จนกว่าจะได้เงื่อนไข</t>
  </si>
  <si>
    <t>ค่าขอใช้เลขทะเบียน - เลขประมูล</t>
  </si>
  <si>
    <t>ค่าขอใช้เลขทะเบียน - ไม่ใช่เลขประมูล</t>
  </si>
  <si>
    <t>ค่าทำแผ่นป้ายทะเบียนใหม่ - ป้ายขาวดำ</t>
  </si>
  <si>
    <t>ค่าทำแผ่นป้ายทะเบียนใหม่ - ป้ายประมูล</t>
  </si>
  <si>
    <t>ค่าย้ายออกต่างจังหวัด</t>
  </si>
  <si>
    <t>กรณีจดพร้อมย้ายออกไปต่างจังหวัด</t>
  </si>
  <si>
    <t>ค่าอากร (ปกติ)</t>
  </si>
  <si>
    <t>ค่าอากร (ทำเพิ่มเติมเกิน 1 รายการ)</t>
  </si>
  <si>
    <t>ลงขัน - รย.1-เก๋ง 2 ตอน</t>
  </si>
  <si>
    <t>ลงขัน - รย.1-นั่ง 2 ตอน</t>
  </si>
  <si>
    <t>ลงขัน - รย.1-นั่ง 3 ตอน</t>
  </si>
  <si>
    <t>ลงขัน - รย.2-นั่ง 2 แถว</t>
  </si>
  <si>
    <t>ลงขัน - รย.2-นั่ง 4 ตอน</t>
  </si>
  <si>
    <t>ลงขัน - รย.3-กระบะบรรทุก</t>
  </si>
  <si>
    <t>ลงขัน - รย.3-กระบะบรรทุกมีหลังคา</t>
  </si>
  <si>
    <t>ลงขัน - รย.3-กระบะบรรทุกมีหลังคาแหนบ</t>
  </si>
  <si>
    <t>ไม่มีราคาลงขันในข้อมูลที่ให้มา - กรอกเพิ่มเอง</t>
  </si>
  <si>
    <t>ลงขัน - รย.3-ตู้บรรทุก</t>
  </si>
  <si>
    <t>งานด่วนเพิ่ม (ต่อคัน)</t>
  </si>
  <si>
    <t>ค่าตรวจสภาพรถ (จยย.)</t>
  </si>
  <si>
    <t>ค่าแผ่นป้ายทะเบียน</t>
  </si>
  <si>
    <t>ค่าใบคู่มือจดทะเบียน</t>
  </si>
  <si>
    <t>ค่าภาษีรถจักรยานยนต์</t>
  </si>
  <si>
    <t>ลงขัน - รย.12 ทุกประเภท (CC)</t>
  </si>
  <si>
    <t>ข้อมูลต้นทางระบุ 40 บาทเท่ากันทุกช่วง CC</t>
  </si>
  <si>
    <t>ลงขันด่วนเพิ่ม (ต่อคัน)</t>
  </si>
  <si>
    <t>ลำดับ</t>
  </si>
  <si>
    <t>วันที่รับงาน</t>
  </si>
  <si>
    <t>ชื่อลูกค้า</t>
  </si>
  <si>
    <t>เลขตัวถัง</t>
  </si>
  <si>
    <t>เลขเครื่อง</t>
  </si>
  <si>
    <t>ประเภทเชื้อเพลิง</t>
  </si>
  <si>
    <t>ขนาด CC</t>
  </si>
  <si>
    <t>น้ำหนักรถ (กก.)</t>
  </si>
  <si>
    <t>สี</t>
  </si>
  <si>
    <t>จังหวัดที่จดทะเบียน</t>
  </si>
  <si>
    <t>จังหวัดเจ้าของรถ</t>
  </si>
  <si>
    <t>ขอใช้จังหวัดอื่น</t>
  </si>
  <si>
    <t>Step2: ประเภทงาน</t>
  </si>
  <si>
    <t>ค่าตัดบัญชี</t>
  </si>
  <si>
    <t>ค่าแจ้งย้าย (No bill)</t>
  </si>
  <si>
    <t>ค่าแจ้งย้าย (Bill)</t>
  </si>
  <si>
    <t>Step3: สถานที่ตรวจรถ</t>
  </si>
  <si>
    <t>ค่าตรวจรถ</t>
  </si>
  <si>
    <t>ประเภทยานพาหนะ</t>
  </si>
  <si>
    <t>ค่าคำขอ</t>
  </si>
  <si>
    <t>ค่าธรรมเนียมอื่นๆ</t>
  </si>
  <si>
    <t>ค่าตรวจสภาพรถ</t>
  </si>
  <si>
    <t>ค่าภาษีรถ (กรอกเอง/รถยนต์)</t>
  </si>
  <si>
    <t>ขอใช้เลขทะเบียน</t>
  </si>
  <si>
    <t>ค่าขอใช้เลขทะเบียน</t>
  </si>
  <si>
    <t>ทำแผ่นป้ายใหม่</t>
  </si>
  <si>
    <t>ค่าทำแผ่นป้ายใหม่</t>
  </si>
  <si>
    <t>ย้ายออกต่างจังหวัด</t>
  </si>
  <si>
    <t>ค่าย้ายออก</t>
  </si>
  <si>
    <t>รวม Bill (Step4)</t>
  </si>
  <si>
    <t>ทำเกิน 1 รายการ</t>
  </si>
  <si>
    <t>ค่าอากร</t>
  </si>
  <si>
    <t>ค่าลงขัน</t>
  </si>
  <si>
    <t>งานด่วน/ลงขันด่วน</t>
  </si>
  <si>
    <t>ค่าลงขันด่วนเพิ่ม</t>
  </si>
  <si>
    <t>รวม No bill</t>
  </si>
  <si>
    <t>รวมราคาทั้งหมด</t>
  </si>
  <si>
    <t>วันที่รับใบเสร็จ</t>
  </si>
  <si>
    <t>รูปหลักฐานใบเสร็จ</t>
  </si>
  <si>
    <t>วันที่รับเล่ม</t>
  </si>
  <si>
    <t>รูปหลักฐานเล่ม</t>
  </si>
  <si>
    <t>วันที่รับป้าย</t>
  </si>
  <si>
    <t>รูปหลักฐานป้าย</t>
  </si>
  <si>
    <t>วันที่ส่งงานลูกค้า</t>
  </si>
  <si>
    <t>รูปหลักฐานส่งงาน</t>
  </si>
  <si>
    <t>วันที่วางบิล (Step7)</t>
  </si>
  <si>
    <t>วันที่รับเงิน/เลขใบกำกับ (Step8)</t>
  </si>
  <si>
    <t>BrandForLookup (ห้ามแก้)</t>
  </si>
  <si>
    <t>KeyTypeBrand (ห้ามแก้)</t>
  </si>
  <si>
    <t>2569-09-17</t>
  </si>
  <si>
    <t>คุณสมชาย ใจดี</t>
  </si>
  <si>
    <t>MRHGD1234567890</t>
  </si>
  <si>
    <t>K12A3456789</t>
  </si>
  <si>
    <t>Toyota</t>
  </si>
  <si>
    <t>น้ำมัน</t>
  </si>
  <si>
    <t>ขาว</t>
  </si>
  <si>
    <t>ตัดบัญชี</t>
  </si>
  <si>
    <t>กทม.</t>
  </si>
  <si>
    <t>ไม่ใช่เลขประมูล</t>
  </si>
  <si>
    <t>ไม่มี</t>
  </si>
  <si>
    <t>ไม่ใช่</t>
  </si>
  <si>
    <t>2569-09-20</t>
  </si>
  <si>
    <t>receipt_001.jpg</t>
  </si>
  <si>
    <t>2569-09-25</t>
  </si>
  <si>
    <t>book_001.jpg</t>
  </si>
  <si>
    <t>plate_001.jpg</t>
  </si>
  <si>
    <t>2569-09-26</t>
  </si>
  <si>
    <t>delivery_001.jpg</t>
  </si>
  <si>
    <t>2569-09-30</t>
  </si>
  <si>
    <t>2569-10-05</t>
  </si>
  <si>
    <t>ตัวอย่างแถวสาธิต - แก้ไข/ลบได้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</si>
</sst>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Tahoma"/>
    </font>
    <font>
      <sz val="10"/>
      <name val="Tahoma"/>
    </font>
    <font>
      <b/>
      <sz val="10"/>
      <color rgb="FFFFFFFF"/>
      <name val="Tahoma"/>
    </font>
    <font>
      <sz val="10"/>
      <color rgb="FF000000"/>
      <name val="Tahoma"/>
    </font>
    <font>
      <sz val="10"/>
      <color rgb="FF0000FF"/>
      <name val="Tahoma"/>
    </font>
    <font>
      <i/>
      <sz val="9"/>
      <color rgb="FF808080"/>
      <name val="Tahoma"/>
    </font>
    <font>
      <b/>
      <sz val="10"/>
      <name val="Tahoma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99"/>
      </patternFill>
    </fill>
    <fill>
      <patternFill patternType="solid">
        <fgColor rgb="FFB7791F"/>
      </patternFill>
    </fill>
    <fill>
      <patternFill patternType="solid">
        <fgColor rgb="FF2E7D32"/>
      </patternFill>
    </fill>
    <fill>
      <patternFill patternType="solid">
        <fgColor rgb="FF6A1B9A"/>
      </patternFill>
    </fill>
    <fill>
      <patternFill patternType="solid">
        <fgColor rgb="FF00695C"/>
      </patternFill>
    </fill>
    <fill>
      <patternFill patternType="solid">
        <fgColor rgb="FFC62828"/>
      </patternFill>
    </fill>
    <fill>
      <patternFill patternType="solid">
        <fgColor rgb="FF455A64"/>
      </patternFill>
    </fill>
    <fill>
      <patternFill patternType="solid">
        <fgColor rgb="FF9E9E9E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7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4"/>
  <sheetViews>
    <sheetView showGridLines="0" workbookViewId="0"/>
  </sheetViews>
  <sheetFormatPr defaultRowHeight="14.4" x14ac:dyDescent="0.3"/>
  <cols>
    <col min="1" max="1" width="3" customWidth="1"/>
    <col min="2" max="2" width="95" customWidth="1"/>
  </cols>
  <sheetData>
    <row r="2" spans="2:2" ht="17.399999999999999" x14ac:dyDescent="0.3">
      <c r="B2" s="1" t="s">
        <v>0</v>
      </c>
    </row>
    <row r="4" spans="2:2" x14ac:dyDescent="0.3">
      <c r="B4" s="2" t="s">
        <v>1</v>
      </c>
    </row>
    <row r="5" spans="2:2" x14ac:dyDescent="0.3">
      <c r="B5" s="2" t="s">
        <v>2</v>
      </c>
    </row>
    <row r="6" spans="2:2" x14ac:dyDescent="0.3">
      <c r="B6" s="2" t="s">
        <v>1</v>
      </c>
    </row>
    <row r="7" spans="2:2" x14ac:dyDescent="0.3">
      <c r="B7" s="2" t="s">
        <v>3</v>
      </c>
    </row>
    <row r="8" spans="2:2" x14ac:dyDescent="0.3">
      <c r="B8" s="2" t="s">
        <v>4</v>
      </c>
    </row>
    <row r="9" spans="2:2" x14ac:dyDescent="0.3">
      <c r="B9" s="2" t="s">
        <v>5</v>
      </c>
    </row>
    <row r="10" spans="2:2" x14ac:dyDescent="0.3">
      <c r="B10" s="2" t="s">
        <v>1</v>
      </c>
    </row>
    <row r="11" spans="2:2" x14ac:dyDescent="0.3">
      <c r="B11" s="2" t="s">
        <v>6</v>
      </c>
    </row>
    <row r="12" spans="2:2" x14ac:dyDescent="0.3">
      <c r="B12" s="2" t="s">
        <v>7</v>
      </c>
    </row>
    <row r="13" spans="2:2" x14ac:dyDescent="0.3">
      <c r="B13" s="2" t="s">
        <v>8</v>
      </c>
    </row>
    <row r="14" spans="2:2" x14ac:dyDescent="0.3">
      <c r="B14" s="2" t="s">
        <v>1</v>
      </c>
    </row>
    <row r="15" spans="2:2" x14ac:dyDescent="0.3">
      <c r="B15" s="2" t="s">
        <v>9</v>
      </c>
    </row>
    <row r="16" spans="2:2" x14ac:dyDescent="0.3">
      <c r="B16" s="2" t="s">
        <v>10</v>
      </c>
    </row>
    <row r="17" spans="2:2" x14ac:dyDescent="0.3">
      <c r="B17" s="2" t="s">
        <v>1</v>
      </c>
    </row>
    <row r="18" spans="2:2" x14ac:dyDescent="0.3">
      <c r="B18" s="2" t="s">
        <v>11</v>
      </c>
    </row>
    <row r="19" spans="2:2" x14ac:dyDescent="0.3">
      <c r="B19" s="2" t="s">
        <v>12</v>
      </c>
    </row>
    <row r="20" spans="2:2" x14ac:dyDescent="0.3">
      <c r="B20" s="2" t="s">
        <v>13</v>
      </c>
    </row>
    <row r="21" spans="2:2" x14ac:dyDescent="0.3">
      <c r="B21" s="2" t="s">
        <v>14</v>
      </c>
    </row>
    <row r="22" spans="2:2" x14ac:dyDescent="0.3">
      <c r="B22" s="2" t="s">
        <v>1</v>
      </c>
    </row>
    <row r="23" spans="2:2" x14ac:dyDescent="0.3">
      <c r="B23" s="2" t="s">
        <v>15</v>
      </c>
    </row>
    <row r="24" spans="2:2" x14ac:dyDescent="0.3">
      <c r="B24" s="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8" customWidth="1"/>
  </cols>
  <sheetData>
    <row r="1" spans="1:2" ht="26.4" x14ac:dyDescent="0.3">
      <c r="A1" s="3" t="s">
        <v>17</v>
      </c>
      <c r="B1" s="3" t="s">
        <v>18</v>
      </c>
    </row>
    <row r="2" spans="1:2" x14ac:dyDescent="0.3">
      <c r="A2" s="4" t="s">
        <v>19</v>
      </c>
      <c r="B2" s="4" t="s">
        <v>20</v>
      </c>
    </row>
    <row r="3" spans="1:2" x14ac:dyDescent="0.3">
      <c r="A3" s="4" t="s">
        <v>21</v>
      </c>
      <c r="B3" s="4" t="s">
        <v>20</v>
      </c>
    </row>
    <row r="4" spans="1:2" x14ac:dyDescent="0.3">
      <c r="A4" s="4" t="s">
        <v>22</v>
      </c>
      <c r="B4" s="4" t="s">
        <v>20</v>
      </c>
    </row>
    <row r="5" spans="1:2" x14ac:dyDescent="0.3">
      <c r="A5" s="4" t="s">
        <v>23</v>
      </c>
      <c r="B5" s="4" t="s">
        <v>20</v>
      </c>
    </row>
    <row r="6" spans="1:2" x14ac:dyDescent="0.3">
      <c r="A6" s="4" t="s">
        <v>24</v>
      </c>
      <c r="B6" s="4" t="s">
        <v>25</v>
      </c>
    </row>
    <row r="7" spans="1:2" x14ac:dyDescent="0.3">
      <c r="A7" s="4" t="s">
        <v>26</v>
      </c>
      <c r="B7" s="4" t="s">
        <v>25</v>
      </c>
    </row>
    <row r="8" spans="1:2" x14ac:dyDescent="0.3">
      <c r="A8" s="4" t="s">
        <v>27</v>
      </c>
      <c r="B8" s="4" t="s">
        <v>25</v>
      </c>
    </row>
    <row r="9" spans="1:2" x14ac:dyDescent="0.3">
      <c r="A9" s="4" t="s">
        <v>28</v>
      </c>
      <c r="B9" s="4" t="s">
        <v>25</v>
      </c>
    </row>
    <row r="10" spans="1:2" x14ac:dyDescent="0.3">
      <c r="A10" s="4" t="s">
        <v>29</v>
      </c>
      <c r="B10" s="4" t="s">
        <v>25</v>
      </c>
    </row>
    <row r="11" spans="1:2" x14ac:dyDescent="0.3">
      <c r="A11" s="4" t="s">
        <v>30</v>
      </c>
      <c r="B11" s="4" t="s">
        <v>25</v>
      </c>
    </row>
    <row r="12" spans="1:2" x14ac:dyDescent="0.3">
      <c r="A12" s="4" t="s">
        <v>31</v>
      </c>
      <c r="B12" s="4" t="s">
        <v>25</v>
      </c>
    </row>
    <row r="13" spans="1:2" x14ac:dyDescent="0.3">
      <c r="A13" s="4" t="s">
        <v>32</v>
      </c>
      <c r="B13" s="4" t="s">
        <v>25</v>
      </c>
    </row>
    <row r="14" spans="1:2" x14ac:dyDescent="0.3">
      <c r="A14" s="4" t="s">
        <v>33</v>
      </c>
      <c r="B14" s="4" t="s">
        <v>25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4" customWidth="1"/>
    <col min="2" max="2" width="55" customWidth="1"/>
  </cols>
  <sheetData>
    <row r="1" spans="1:2" x14ac:dyDescent="0.3">
      <c r="A1" s="3" t="s">
        <v>34</v>
      </c>
      <c r="B1" s="3" t="s">
        <v>35</v>
      </c>
    </row>
    <row r="2" spans="1:2" x14ac:dyDescent="0.3">
      <c r="A2" s="4" t="s">
        <v>36</v>
      </c>
      <c r="B2" s="4" t="s">
        <v>37</v>
      </c>
    </row>
    <row r="3" spans="1:2" x14ac:dyDescent="0.3">
      <c r="A3" s="4" t="s">
        <v>38</v>
      </c>
      <c r="B3" s="4" t="s">
        <v>39</v>
      </c>
    </row>
    <row r="4" spans="1:2" x14ac:dyDescent="0.3">
      <c r="A4" s="4" t="s">
        <v>40</v>
      </c>
      <c r="B4" s="4" t="s">
        <v>39</v>
      </c>
    </row>
    <row r="5" spans="1:2" x14ac:dyDescent="0.3">
      <c r="A5" s="4" t="s">
        <v>41</v>
      </c>
      <c r="B5" s="4" t="s">
        <v>39</v>
      </c>
    </row>
    <row r="6" spans="1:2" x14ac:dyDescent="0.3">
      <c r="A6" s="4" t="s">
        <v>42</v>
      </c>
      <c r="B6" s="4" t="s">
        <v>39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8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28" customWidth="1"/>
  </cols>
  <sheetData>
    <row r="1" spans="1:1" x14ac:dyDescent="0.3">
      <c r="A1" s="3" t="s">
        <v>43</v>
      </c>
    </row>
    <row r="2" spans="1:1" x14ac:dyDescent="0.3">
      <c r="A2" s="4" t="s">
        <v>44</v>
      </c>
    </row>
    <row r="3" spans="1:1" x14ac:dyDescent="0.3">
      <c r="A3" s="4" t="s">
        <v>45</v>
      </c>
    </row>
    <row r="4" spans="1:1" x14ac:dyDescent="0.3">
      <c r="A4" s="4" t="s">
        <v>46</v>
      </c>
    </row>
    <row r="5" spans="1:1" x14ac:dyDescent="0.3">
      <c r="A5" s="4" t="s">
        <v>47</v>
      </c>
    </row>
    <row r="6" spans="1:1" x14ac:dyDescent="0.3">
      <c r="A6" s="4" t="s">
        <v>48</v>
      </c>
    </row>
    <row r="7" spans="1:1" x14ac:dyDescent="0.3">
      <c r="A7" s="4" t="s">
        <v>49</v>
      </c>
    </row>
    <row r="8" spans="1:1" x14ac:dyDescent="0.3">
      <c r="A8" s="4" t="s">
        <v>50</v>
      </c>
    </row>
    <row r="9" spans="1:1" x14ac:dyDescent="0.3">
      <c r="A9" s="4" t="s">
        <v>51</v>
      </c>
    </row>
    <row r="10" spans="1:1" x14ac:dyDescent="0.3">
      <c r="A10" s="4" t="s">
        <v>52</v>
      </c>
    </row>
    <row r="11" spans="1:1" x14ac:dyDescent="0.3">
      <c r="A11" s="4" t="s">
        <v>53</v>
      </c>
    </row>
    <row r="12" spans="1:1" x14ac:dyDescent="0.3">
      <c r="A12" s="4" t="s">
        <v>54</v>
      </c>
    </row>
    <row r="13" spans="1:1" x14ac:dyDescent="0.3">
      <c r="A13" s="4" t="s">
        <v>55</v>
      </c>
    </row>
    <row r="14" spans="1:1" x14ac:dyDescent="0.3">
      <c r="A14" s="4" t="s">
        <v>56</v>
      </c>
    </row>
    <row r="15" spans="1:1" x14ac:dyDescent="0.3">
      <c r="A15" s="4" t="s">
        <v>57</v>
      </c>
    </row>
    <row r="16" spans="1:1" x14ac:dyDescent="0.3">
      <c r="A16" s="4" t="s">
        <v>58</v>
      </c>
    </row>
    <row r="17" spans="1:1" x14ac:dyDescent="0.3">
      <c r="A17" s="4" t="s">
        <v>59</v>
      </c>
    </row>
    <row r="18" spans="1:1" x14ac:dyDescent="0.3">
      <c r="A18" s="4" t="s">
        <v>60</v>
      </c>
    </row>
    <row r="19" spans="1:1" x14ac:dyDescent="0.3">
      <c r="A19" s="4" t="s">
        <v>61</v>
      </c>
    </row>
    <row r="20" spans="1:1" x14ac:dyDescent="0.3">
      <c r="A20" s="4" t="s">
        <v>62</v>
      </c>
    </row>
    <row r="21" spans="1:1" x14ac:dyDescent="0.3">
      <c r="A21" s="4" t="s">
        <v>63</v>
      </c>
    </row>
    <row r="22" spans="1:1" x14ac:dyDescent="0.3">
      <c r="A22" s="4" t="s">
        <v>64</v>
      </c>
    </row>
    <row r="23" spans="1:1" x14ac:dyDescent="0.3">
      <c r="A23" s="4" t="s">
        <v>65</v>
      </c>
    </row>
    <row r="24" spans="1:1" x14ac:dyDescent="0.3">
      <c r="A24" s="4" t="s">
        <v>66</v>
      </c>
    </row>
    <row r="25" spans="1:1" x14ac:dyDescent="0.3">
      <c r="A25" s="4" t="s">
        <v>67</v>
      </c>
    </row>
    <row r="26" spans="1:1" x14ac:dyDescent="0.3">
      <c r="A26" s="4" t="s">
        <v>68</v>
      </c>
    </row>
    <row r="27" spans="1:1" x14ac:dyDescent="0.3">
      <c r="A27" s="4" t="s">
        <v>69</v>
      </c>
    </row>
    <row r="28" spans="1:1" x14ac:dyDescent="0.3">
      <c r="A28" s="4" t="s">
        <v>70</v>
      </c>
    </row>
    <row r="29" spans="1:1" x14ac:dyDescent="0.3">
      <c r="A29" s="4" t="s">
        <v>71</v>
      </c>
    </row>
    <row r="30" spans="1:1" x14ac:dyDescent="0.3">
      <c r="A30" s="4" t="s">
        <v>72</v>
      </c>
    </row>
    <row r="31" spans="1:1" x14ac:dyDescent="0.3">
      <c r="A31" s="4" t="s">
        <v>73</v>
      </c>
    </row>
    <row r="32" spans="1:1" x14ac:dyDescent="0.3">
      <c r="A32" s="4" t="s">
        <v>74</v>
      </c>
    </row>
    <row r="33" spans="1:1" x14ac:dyDescent="0.3">
      <c r="A33" s="4" t="s">
        <v>75</v>
      </c>
    </row>
    <row r="34" spans="1:1" x14ac:dyDescent="0.3">
      <c r="A34" s="4" t="s">
        <v>76</v>
      </c>
    </row>
    <row r="35" spans="1:1" x14ac:dyDescent="0.3">
      <c r="A35" s="4" t="s">
        <v>77</v>
      </c>
    </row>
    <row r="36" spans="1:1" x14ac:dyDescent="0.3">
      <c r="A36" s="4" t="s">
        <v>78</v>
      </c>
    </row>
    <row r="37" spans="1:1" x14ac:dyDescent="0.3">
      <c r="A37" s="4" t="s">
        <v>79</v>
      </c>
    </row>
    <row r="38" spans="1:1" x14ac:dyDescent="0.3">
      <c r="A38" s="4" t="s">
        <v>80</v>
      </c>
    </row>
    <row r="39" spans="1:1" x14ac:dyDescent="0.3">
      <c r="A39" s="4" t="s">
        <v>81</v>
      </c>
    </row>
    <row r="40" spans="1:1" x14ac:dyDescent="0.3">
      <c r="A40" s="4" t="s">
        <v>82</v>
      </c>
    </row>
    <row r="41" spans="1:1" x14ac:dyDescent="0.3">
      <c r="A41" s="4" t="s">
        <v>83</v>
      </c>
    </row>
    <row r="42" spans="1:1" x14ac:dyDescent="0.3">
      <c r="A42" s="4" t="s">
        <v>84</v>
      </c>
    </row>
    <row r="43" spans="1:1" x14ac:dyDescent="0.3">
      <c r="A43" s="4" t="s">
        <v>85</v>
      </c>
    </row>
    <row r="44" spans="1:1" x14ac:dyDescent="0.3">
      <c r="A44" s="4" t="s">
        <v>86</v>
      </c>
    </row>
    <row r="45" spans="1:1" x14ac:dyDescent="0.3">
      <c r="A45" s="4" t="s">
        <v>87</v>
      </c>
    </row>
    <row r="46" spans="1:1" x14ac:dyDescent="0.3">
      <c r="A46" s="4" t="s">
        <v>88</v>
      </c>
    </row>
    <row r="47" spans="1:1" x14ac:dyDescent="0.3">
      <c r="A47" s="4" t="s">
        <v>89</v>
      </c>
    </row>
    <row r="48" spans="1:1" x14ac:dyDescent="0.3">
      <c r="A48" s="4" t="s">
        <v>90</v>
      </c>
    </row>
    <row r="49" spans="1:1" x14ac:dyDescent="0.3">
      <c r="A49" s="4" t="s">
        <v>91</v>
      </c>
    </row>
    <row r="50" spans="1:1" x14ac:dyDescent="0.3">
      <c r="A50" s="4" t="s">
        <v>92</v>
      </c>
    </row>
    <row r="51" spans="1:1" x14ac:dyDescent="0.3">
      <c r="A51" s="4" t="s">
        <v>93</v>
      </c>
    </row>
    <row r="52" spans="1:1" x14ac:dyDescent="0.3">
      <c r="A52" s="4" t="s">
        <v>94</v>
      </c>
    </row>
    <row r="53" spans="1:1" x14ac:dyDescent="0.3">
      <c r="A53" s="4" t="s">
        <v>95</v>
      </c>
    </row>
    <row r="54" spans="1:1" x14ac:dyDescent="0.3">
      <c r="A54" s="4" t="s">
        <v>96</v>
      </c>
    </row>
    <row r="55" spans="1:1" x14ac:dyDescent="0.3">
      <c r="A55" s="4" t="s">
        <v>97</v>
      </c>
    </row>
    <row r="56" spans="1:1" x14ac:dyDescent="0.3">
      <c r="A56" s="4" t="s">
        <v>98</v>
      </c>
    </row>
    <row r="57" spans="1:1" x14ac:dyDescent="0.3">
      <c r="A57" s="4" t="s">
        <v>99</v>
      </c>
    </row>
    <row r="58" spans="1:1" x14ac:dyDescent="0.3">
      <c r="A58" s="4" t="s">
        <v>100</v>
      </c>
    </row>
    <row r="59" spans="1:1" x14ac:dyDescent="0.3">
      <c r="A59" s="4" t="s">
        <v>101</v>
      </c>
    </row>
    <row r="60" spans="1:1" x14ac:dyDescent="0.3">
      <c r="A60" s="4" t="s">
        <v>102</v>
      </c>
    </row>
    <row r="61" spans="1:1" x14ac:dyDescent="0.3">
      <c r="A61" s="4" t="s">
        <v>103</v>
      </c>
    </row>
    <row r="62" spans="1:1" x14ac:dyDescent="0.3">
      <c r="A62" s="4" t="s">
        <v>104</v>
      </c>
    </row>
    <row r="63" spans="1:1" x14ac:dyDescent="0.3">
      <c r="A63" s="4" t="s">
        <v>105</v>
      </c>
    </row>
    <row r="64" spans="1:1" x14ac:dyDescent="0.3">
      <c r="A64" s="4" t="s">
        <v>106</v>
      </c>
    </row>
    <row r="65" spans="1:1" x14ac:dyDescent="0.3">
      <c r="A65" s="4" t="s">
        <v>107</v>
      </c>
    </row>
    <row r="66" spans="1:1" x14ac:dyDescent="0.3">
      <c r="A66" s="4" t="s">
        <v>108</v>
      </c>
    </row>
    <row r="67" spans="1:1" x14ac:dyDescent="0.3">
      <c r="A67" s="4" t="s">
        <v>109</v>
      </c>
    </row>
    <row r="68" spans="1:1" x14ac:dyDescent="0.3">
      <c r="A68" s="4" t="s">
        <v>110</v>
      </c>
    </row>
    <row r="69" spans="1:1" x14ac:dyDescent="0.3">
      <c r="A69" s="4" t="s">
        <v>111</v>
      </c>
    </row>
    <row r="70" spans="1:1" x14ac:dyDescent="0.3">
      <c r="A70" s="4" t="s">
        <v>112</v>
      </c>
    </row>
    <row r="71" spans="1:1" x14ac:dyDescent="0.3">
      <c r="A71" s="4" t="s">
        <v>113</v>
      </c>
    </row>
    <row r="72" spans="1:1" x14ac:dyDescent="0.3">
      <c r="A72" s="4" t="s">
        <v>114</v>
      </c>
    </row>
    <row r="73" spans="1:1" x14ac:dyDescent="0.3">
      <c r="A73" s="4" t="s">
        <v>115</v>
      </c>
    </row>
    <row r="74" spans="1:1" x14ac:dyDescent="0.3">
      <c r="A74" s="4" t="s">
        <v>116</v>
      </c>
    </row>
    <row r="75" spans="1:1" x14ac:dyDescent="0.3">
      <c r="A75" s="4" t="s">
        <v>117</v>
      </c>
    </row>
    <row r="76" spans="1:1" x14ac:dyDescent="0.3">
      <c r="A76" s="4" t="s">
        <v>118</v>
      </c>
    </row>
    <row r="77" spans="1:1" x14ac:dyDescent="0.3">
      <c r="A77" s="4" t="s">
        <v>119</v>
      </c>
    </row>
    <row r="78" spans="1:1" x14ac:dyDescent="0.3">
      <c r="A78" s="4" t="s">
        <v>120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0" customWidth="1"/>
    <col min="3" max="3" width="34" customWidth="1"/>
    <col min="4" max="4" width="14" customWidth="1"/>
  </cols>
  <sheetData>
    <row r="1" spans="1:4" ht="26.4" x14ac:dyDescent="0.3">
      <c r="A1" s="3" t="s">
        <v>121</v>
      </c>
      <c r="B1" s="3" t="s">
        <v>34</v>
      </c>
      <c r="C1" s="3" t="s">
        <v>122</v>
      </c>
      <c r="D1" s="3" t="s">
        <v>123</v>
      </c>
    </row>
    <row r="2" spans="1:4" x14ac:dyDescent="0.3">
      <c r="A2" s="4" t="s">
        <v>19</v>
      </c>
      <c r="B2" s="4" t="s">
        <v>36</v>
      </c>
      <c r="C2" s="4" t="str">
        <f t="shared" ref="C2:C19" si="0">A2&amp;"|"&amp;B2</f>
        <v>รย.12-น้อยกว่า 300cc|อื่นๆ</v>
      </c>
      <c r="D2" s="5">
        <v>12</v>
      </c>
    </row>
    <row r="3" spans="1:4" x14ac:dyDescent="0.3">
      <c r="A3" s="4" t="s">
        <v>21</v>
      </c>
      <c r="B3" s="4" t="s">
        <v>36</v>
      </c>
      <c r="C3" s="4" t="str">
        <f t="shared" si="0"/>
        <v>รย.12-300-799cc|อื่นๆ</v>
      </c>
      <c r="D3" s="5">
        <v>12</v>
      </c>
    </row>
    <row r="4" spans="1:4" x14ac:dyDescent="0.3">
      <c r="A4" s="4" t="s">
        <v>22</v>
      </c>
      <c r="B4" s="4" t="s">
        <v>36</v>
      </c>
      <c r="C4" s="4" t="str">
        <f t="shared" si="0"/>
        <v>รย.12-800-999cc|อื่นๆ</v>
      </c>
      <c r="D4" s="5">
        <v>12</v>
      </c>
    </row>
    <row r="5" spans="1:4" x14ac:dyDescent="0.3">
      <c r="A5" s="4" t="s">
        <v>23</v>
      </c>
      <c r="B5" s="4" t="s">
        <v>36</v>
      </c>
      <c r="C5" s="4" t="str">
        <f t="shared" si="0"/>
        <v>รย.12-1000cc ขึ้นไป|อื่นๆ</v>
      </c>
      <c r="D5" s="5">
        <v>12</v>
      </c>
    </row>
    <row r="6" spans="1:4" x14ac:dyDescent="0.3">
      <c r="A6" s="4" t="s">
        <v>24</v>
      </c>
      <c r="B6" s="4" t="s">
        <v>36</v>
      </c>
      <c r="C6" s="4" t="str">
        <f t="shared" si="0"/>
        <v>รย.1-เก๋ง 2 ตอน|อื่นๆ</v>
      </c>
      <c r="D6" s="5">
        <v>20</v>
      </c>
    </row>
    <row r="7" spans="1:4" x14ac:dyDescent="0.3">
      <c r="A7" s="4" t="s">
        <v>24</v>
      </c>
      <c r="B7" s="4" t="s">
        <v>38</v>
      </c>
      <c r="C7" s="4" t="str">
        <f t="shared" si="0"/>
        <v>รย.1-เก๋ง 2 ตอน|Benz</v>
      </c>
      <c r="D7" s="5">
        <v>20</v>
      </c>
    </row>
    <row r="8" spans="1:4" x14ac:dyDescent="0.3">
      <c r="A8" s="4" t="s">
        <v>24</v>
      </c>
      <c r="B8" s="4" t="s">
        <v>40</v>
      </c>
      <c r="C8" s="4" t="str">
        <f t="shared" si="0"/>
        <v>รย.1-เก๋ง 2 ตอน|BMW</v>
      </c>
      <c r="D8" s="5">
        <v>20</v>
      </c>
    </row>
    <row r="9" spans="1:4" x14ac:dyDescent="0.3">
      <c r="A9" s="4" t="s">
        <v>24</v>
      </c>
      <c r="B9" s="4" t="s">
        <v>41</v>
      </c>
      <c r="C9" s="4" t="str">
        <f t="shared" si="0"/>
        <v>รย.1-เก๋ง 2 ตอน|Lexus</v>
      </c>
      <c r="D9" s="5">
        <v>20</v>
      </c>
    </row>
    <row r="10" spans="1:4" x14ac:dyDescent="0.3">
      <c r="A10" s="4" t="s">
        <v>24</v>
      </c>
      <c r="B10" s="4" t="s">
        <v>42</v>
      </c>
      <c r="C10" s="4" t="str">
        <f t="shared" si="0"/>
        <v>รย.1-เก๋ง 2 ตอน|Volvo</v>
      </c>
      <c r="D10" s="5">
        <v>20</v>
      </c>
    </row>
    <row r="11" spans="1:4" x14ac:dyDescent="0.3">
      <c r="A11" s="4" t="s">
        <v>26</v>
      </c>
      <c r="B11" s="4" t="s">
        <v>36</v>
      </c>
      <c r="C11" s="4" t="str">
        <f t="shared" si="0"/>
        <v>รย.1-นั่ง 2 ตอน|อื่นๆ</v>
      </c>
      <c r="D11" s="5">
        <v>20</v>
      </c>
    </row>
    <row r="12" spans="1:4" x14ac:dyDescent="0.3">
      <c r="A12" s="4" t="s">
        <v>27</v>
      </c>
      <c r="B12" s="4" t="s">
        <v>36</v>
      </c>
      <c r="C12" s="4" t="str">
        <f t="shared" si="0"/>
        <v>รย.1-นั่ง 3 ตอน|อื่นๆ</v>
      </c>
      <c r="D12" s="5">
        <v>20</v>
      </c>
    </row>
    <row r="13" spans="1:4" x14ac:dyDescent="0.3">
      <c r="A13" s="4" t="s">
        <v>28</v>
      </c>
      <c r="B13" s="4" t="s">
        <v>36</v>
      </c>
      <c r="C13" s="4" t="str">
        <f t="shared" si="0"/>
        <v>รย.2-นั่ง 2 แถว|อื่นๆ</v>
      </c>
      <c r="D13" s="5">
        <v>50</v>
      </c>
    </row>
    <row r="14" spans="1:4" x14ac:dyDescent="0.3">
      <c r="A14" s="4" t="s">
        <v>29</v>
      </c>
      <c r="B14" s="4" t="s">
        <v>36</v>
      </c>
      <c r="C14" s="4" t="str">
        <f t="shared" si="0"/>
        <v>รย.2-นั่ง 4 ตอน|อื่นๆ</v>
      </c>
      <c r="D14" s="5">
        <v>50</v>
      </c>
    </row>
    <row r="15" spans="1:4" x14ac:dyDescent="0.3">
      <c r="A15" s="4" t="s">
        <v>30</v>
      </c>
      <c r="B15" s="4" t="s">
        <v>36</v>
      </c>
      <c r="C15" s="4" t="str">
        <f t="shared" si="0"/>
        <v>รย.3-กระบะบรรทุก|อื่นๆ</v>
      </c>
      <c r="D15" s="5">
        <v>20</v>
      </c>
    </row>
    <row r="16" spans="1:4" x14ac:dyDescent="0.3">
      <c r="A16" s="4" t="s">
        <v>31</v>
      </c>
      <c r="B16" s="4" t="s">
        <v>36</v>
      </c>
      <c r="C16" s="4" t="str">
        <f t="shared" si="0"/>
        <v>รย.3-กระบะบรรทุกมีหลังคา|อื่นๆ</v>
      </c>
      <c r="D16" s="5">
        <v>20</v>
      </c>
    </row>
    <row r="17" spans="1:4" x14ac:dyDescent="0.3">
      <c r="A17" s="4" t="s">
        <v>32</v>
      </c>
      <c r="B17" s="4" t="s">
        <v>36</v>
      </c>
      <c r="C17" s="4" t="str">
        <f t="shared" si="0"/>
        <v>รย.3-กระบะบรรทุกมีหลังคาแหนบ|อื่นๆ</v>
      </c>
      <c r="D17" s="5">
        <v>20</v>
      </c>
    </row>
    <row r="18" spans="1:4" x14ac:dyDescent="0.3">
      <c r="A18" s="4" t="s">
        <v>33</v>
      </c>
      <c r="B18" s="4" t="s">
        <v>36</v>
      </c>
      <c r="C18" s="4" t="str">
        <f t="shared" si="0"/>
        <v>รย.3-ตู้บรรทุก|อื่นๆ</v>
      </c>
      <c r="D18" s="5">
        <v>20</v>
      </c>
    </row>
    <row r="19" spans="1:4" x14ac:dyDescent="0.3">
      <c r="A19" s="4" t="s">
        <v>124</v>
      </c>
      <c r="B19" s="4" t="s">
        <v>36</v>
      </c>
      <c r="C19" s="4" t="str">
        <f t="shared" si="0"/>
        <v>นำรถมาตรวจ|อื่นๆ</v>
      </c>
      <c r="D19" s="5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0" customWidth="1"/>
    <col min="3" max="3" width="34" customWidth="1"/>
    <col min="4" max="4" width="14" customWidth="1"/>
  </cols>
  <sheetData>
    <row r="1" spans="1:4" ht="26.4" x14ac:dyDescent="0.3">
      <c r="A1" s="3" t="s">
        <v>121</v>
      </c>
      <c r="B1" s="3" t="s">
        <v>34</v>
      </c>
      <c r="C1" s="3" t="s">
        <v>122</v>
      </c>
      <c r="D1" s="3" t="s">
        <v>125</v>
      </c>
    </row>
    <row r="2" spans="1:4" x14ac:dyDescent="0.3">
      <c r="A2" s="4" t="s">
        <v>19</v>
      </c>
      <c r="B2" s="4" t="s">
        <v>36</v>
      </c>
      <c r="C2" s="4" t="str">
        <f t="shared" ref="C2:C19" si="0">A2&amp;"|"&amp;B2</f>
        <v>รย.12-น้อยกว่า 300cc|อื่นๆ</v>
      </c>
      <c r="D2" s="5">
        <v>20</v>
      </c>
    </row>
    <row r="3" spans="1:4" x14ac:dyDescent="0.3">
      <c r="A3" s="4" t="s">
        <v>21</v>
      </c>
      <c r="B3" s="4" t="s">
        <v>36</v>
      </c>
      <c r="C3" s="4" t="str">
        <f t="shared" si="0"/>
        <v>รย.12-300-799cc|อื่นๆ</v>
      </c>
      <c r="D3" s="5">
        <v>20</v>
      </c>
    </row>
    <row r="4" spans="1:4" x14ac:dyDescent="0.3">
      <c r="A4" s="4" t="s">
        <v>22</v>
      </c>
      <c r="B4" s="4" t="s">
        <v>36</v>
      </c>
      <c r="C4" s="4" t="str">
        <f t="shared" si="0"/>
        <v>รย.12-800-999cc|อื่นๆ</v>
      </c>
      <c r="D4" s="5">
        <v>20</v>
      </c>
    </row>
    <row r="5" spans="1:4" x14ac:dyDescent="0.3">
      <c r="A5" s="4" t="s">
        <v>23</v>
      </c>
      <c r="B5" s="4" t="s">
        <v>36</v>
      </c>
      <c r="C5" s="4" t="str">
        <f t="shared" si="0"/>
        <v>รย.12-1000cc ขึ้นไป|อื่นๆ</v>
      </c>
      <c r="D5" s="5">
        <v>20</v>
      </c>
    </row>
    <row r="6" spans="1:4" x14ac:dyDescent="0.3">
      <c r="A6" s="4" t="s">
        <v>24</v>
      </c>
      <c r="B6" s="4" t="s">
        <v>36</v>
      </c>
      <c r="C6" s="4" t="str">
        <f t="shared" si="0"/>
        <v>รย.1-เก๋ง 2 ตอน|อื่นๆ</v>
      </c>
      <c r="D6" s="5">
        <v>30</v>
      </c>
    </row>
    <row r="7" spans="1:4" x14ac:dyDescent="0.3">
      <c r="A7" s="4" t="s">
        <v>24</v>
      </c>
      <c r="B7" s="4" t="s">
        <v>38</v>
      </c>
      <c r="C7" s="4" t="str">
        <f t="shared" si="0"/>
        <v>รย.1-เก๋ง 2 ตอน|Benz</v>
      </c>
      <c r="D7" s="5">
        <v>30</v>
      </c>
    </row>
    <row r="8" spans="1:4" x14ac:dyDescent="0.3">
      <c r="A8" s="4" t="s">
        <v>24</v>
      </c>
      <c r="B8" s="4" t="s">
        <v>40</v>
      </c>
      <c r="C8" s="4" t="str">
        <f t="shared" si="0"/>
        <v>รย.1-เก๋ง 2 ตอน|BMW</v>
      </c>
      <c r="D8" s="5">
        <v>30</v>
      </c>
    </row>
    <row r="9" spans="1:4" x14ac:dyDescent="0.3">
      <c r="A9" s="4" t="s">
        <v>24</v>
      </c>
      <c r="B9" s="4" t="s">
        <v>41</v>
      </c>
      <c r="C9" s="4" t="str">
        <f t="shared" si="0"/>
        <v>รย.1-เก๋ง 2 ตอน|Lexus</v>
      </c>
      <c r="D9" s="5">
        <v>30</v>
      </c>
    </row>
    <row r="10" spans="1:4" x14ac:dyDescent="0.3">
      <c r="A10" s="4" t="s">
        <v>24</v>
      </c>
      <c r="B10" s="4" t="s">
        <v>42</v>
      </c>
      <c r="C10" s="4" t="str">
        <f t="shared" si="0"/>
        <v>รย.1-เก๋ง 2 ตอน|Volvo</v>
      </c>
      <c r="D10" s="5">
        <v>30</v>
      </c>
    </row>
    <row r="11" spans="1:4" x14ac:dyDescent="0.3">
      <c r="A11" s="4" t="s">
        <v>26</v>
      </c>
      <c r="B11" s="4" t="s">
        <v>36</v>
      </c>
      <c r="C11" s="4" t="str">
        <f t="shared" si="0"/>
        <v>รย.1-นั่ง 2 ตอน|อื่นๆ</v>
      </c>
      <c r="D11" s="5">
        <v>30</v>
      </c>
    </row>
    <row r="12" spans="1:4" x14ac:dyDescent="0.3">
      <c r="A12" s="4" t="s">
        <v>27</v>
      </c>
      <c r="B12" s="4" t="s">
        <v>36</v>
      </c>
      <c r="C12" s="4" t="str">
        <f t="shared" si="0"/>
        <v>รย.1-นั่ง 3 ตอน|อื่นๆ</v>
      </c>
      <c r="D12" s="5">
        <v>30</v>
      </c>
    </row>
    <row r="13" spans="1:4" x14ac:dyDescent="0.3">
      <c r="A13" s="4" t="s">
        <v>28</v>
      </c>
      <c r="B13" s="4" t="s">
        <v>36</v>
      </c>
      <c r="C13" s="4" t="str">
        <f t="shared" si="0"/>
        <v>รย.2-นั่ง 2 แถว|อื่นๆ</v>
      </c>
      <c r="D13" s="5">
        <v>30</v>
      </c>
    </row>
    <row r="14" spans="1:4" x14ac:dyDescent="0.3">
      <c r="A14" s="4" t="s">
        <v>29</v>
      </c>
      <c r="B14" s="4" t="s">
        <v>36</v>
      </c>
      <c r="C14" s="4" t="str">
        <f t="shared" si="0"/>
        <v>รย.2-นั่ง 4 ตอน|อื่นๆ</v>
      </c>
      <c r="D14" s="5">
        <v>30</v>
      </c>
    </row>
    <row r="15" spans="1:4" x14ac:dyDescent="0.3">
      <c r="A15" s="4" t="s">
        <v>30</v>
      </c>
      <c r="B15" s="4" t="s">
        <v>36</v>
      </c>
      <c r="C15" s="4" t="str">
        <f t="shared" si="0"/>
        <v>รย.3-กระบะบรรทุก|อื่นๆ</v>
      </c>
      <c r="D15" s="5">
        <v>30</v>
      </c>
    </row>
    <row r="16" spans="1:4" x14ac:dyDescent="0.3">
      <c r="A16" s="4" t="s">
        <v>31</v>
      </c>
      <c r="B16" s="4" t="s">
        <v>36</v>
      </c>
      <c r="C16" s="4" t="str">
        <f t="shared" si="0"/>
        <v>รย.3-กระบะบรรทุกมีหลังคา|อื่นๆ</v>
      </c>
      <c r="D16" s="5">
        <v>30</v>
      </c>
    </row>
    <row r="17" spans="1:4" x14ac:dyDescent="0.3">
      <c r="A17" s="4" t="s">
        <v>32</v>
      </c>
      <c r="B17" s="4" t="s">
        <v>36</v>
      </c>
      <c r="C17" s="4" t="str">
        <f t="shared" si="0"/>
        <v>รย.3-กระบะบรรทุกมีหลังคาแหนบ|อื่นๆ</v>
      </c>
      <c r="D17" s="5">
        <v>30</v>
      </c>
    </row>
    <row r="18" spans="1:4" x14ac:dyDescent="0.3">
      <c r="A18" s="4" t="s">
        <v>33</v>
      </c>
      <c r="B18" s="4" t="s">
        <v>36</v>
      </c>
      <c r="C18" s="4" t="str">
        <f t="shared" si="0"/>
        <v>รย.3-ตู้บรรทุก|อื่นๆ</v>
      </c>
      <c r="D18" s="5">
        <v>30</v>
      </c>
    </row>
    <row r="19" spans="1:4" x14ac:dyDescent="0.3">
      <c r="A19" s="4" t="s">
        <v>124</v>
      </c>
      <c r="B19" s="4" t="s">
        <v>36</v>
      </c>
      <c r="C19" s="4" t="str">
        <f t="shared" si="0"/>
        <v>นำรถมาตรวจ|อื่นๆ</v>
      </c>
      <c r="D19" s="5">
        <v>30</v>
      </c>
    </row>
    <row r="21" spans="1:4" x14ac:dyDescent="0.3">
      <c r="A21" s="6" t="s">
        <v>126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0" customWidth="1"/>
    <col min="3" max="3" width="34" customWidth="1"/>
    <col min="4" max="4" width="14" customWidth="1"/>
  </cols>
  <sheetData>
    <row r="1" spans="1:4" ht="26.4" x14ac:dyDescent="0.3">
      <c r="A1" s="3" t="s">
        <v>121</v>
      </c>
      <c r="B1" s="3" t="s">
        <v>34</v>
      </c>
      <c r="C1" s="3" t="s">
        <v>122</v>
      </c>
      <c r="D1" s="3" t="s">
        <v>127</v>
      </c>
    </row>
    <row r="2" spans="1:4" x14ac:dyDescent="0.3">
      <c r="A2" s="4" t="s">
        <v>19</v>
      </c>
      <c r="B2" s="4" t="s">
        <v>36</v>
      </c>
      <c r="C2" s="4" t="str">
        <f t="shared" ref="C2:C19" si="0">A2&amp;"|"&amp;B2</f>
        <v>รย.12-น้อยกว่า 300cc|อื่นๆ</v>
      </c>
      <c r="D2" s="5">
        <v>50</v>
      </c>
    </row>
    <row r="3" spans="1:4" x14ac:dyDescent="0.3">
      <c r="A3" s="4" t="s">
        <v>21</v>
      </c>
      <c r="B3" s="4" t="s">
        <v>36</v>
      </c>
      <c r="C3" s="4" t="str">
        <f t="shared" si="0"/>
        <v>รย.12-300-799cc|อื่นๆ</v>
      </c>
      <c r="D3" s="5">
        <v>300</v>
      </c>
    </row>
    <row r="4" spans="1:4" x14ac:dyDescent="0.3">
      <c r="A4" s="4" t="s">
        <v>22</v>
      </c>
      <c r="B4" s="4" t="s">
        <v>36</v>
      </c>
      <c r="C4" s="4" t="str">
        <f t="shared" si="0"/>
        <v>รย.12-800-999cc|อื่นๆ</v>
      </c>
      <c r="D4" s="5">
        <v>500</v>
      </c>
    </row>
    <row r="5" spans="1:4" x14ac:dyDescent="0.3">
      <c r="A5" s="4" t="s">
        <v>23</v>
      </c>
      <c r="B5" s="4" t="s">
        <v>36</v>
      </c>
      <c r="C5" s="4" t="str">
        <f t="shared" si="0"/>
        <v>รย.12-1000cc ขึ้นไป|อื่นๆ</v>
      </c>
      <c r="D5" s="5">
        <v>1000</v>
      </c>
    </row>
    <row r="6" spans="1:4" x14ac:dyDescent="0.3">
      <c r="A6" s="4" t="s">
        <v>24</v>
      </c>
      <c r="B6" s="4" t="s">
        <v>36</v>
      </c>
      <c r="C6" s="4" t="str">
        <f t="shared" si="0"/>
        <v>รย.1-เก๋ง 2 ตอน|อื่นๆ</v>
      </c>
      <c r="D6" s="5">
        <v>150</v>
      </c>
    </row>
    <row r="7" spans="1:4" x14ac:dyDescent="0.3">
      <c r="A7" s="4" t="s">
        <v>24</v>
      </c>
      <c r="B7" s="4" t="s">
        <v>38</v>
      </c>
      <c r="C7" s="4" t="str">
        <f t="shared" si="0"/>
        <v>รย.1-เก๋ง 2 ตอน|Benz</v>
      </c>
      <c r="D7" s="5">
        <v>200</v>
      </c>
    </row>
    <row r="8" spans="1:4" x14ac:dyDescent="0.3">
      <c r="A8" s="4" t="s">
        <v>24</v>
      </c>
      <c r="B8" s="4" t="s">
        <v>40</v>
      </c>
      <c r="C8" s="4" t="str">
        <f t="shared" si="0"/>
        <v>รย.1-เก๋ง 2 ตอน|BMW</v>
      </c>
      <c r="D8" s="5">
        <v>200</v>
      </c>
    </row>
    <row r="9" spans="1:4" x14ac:dyDescent="0.3">
      <c r="A9" s="4" t="s">
        <v>24</v>
      </c>
      <c r="B9" s="4" t="s">
        <v>41</v>
      </c>
      <c r="C9" s="4" t="str">
        <f t="shared" si="0"/>
        <v>รย.1-เก๋ง 2 ตอน|Lexus</v>
      </c>
      <c r="D9" s="5">
        <v>200</v>
      </c>
    </row>
    <row r="10" spans="1:4" x14ac:dyDescent="0.3">
      <c r="A10" s="4" t="s">
        <v>24</v>
      </c>
      <c r="B10" s="4" t="s">
        <v>42</v>
      </c>
      <c r="C10" s="4" t="str">
        <f t="shared" si="0"/>
        <v>รย.1-เก๋ง 2 ตอน|Volvo</v>
      </c>
      <c r="D10" s="5">
        <v>200</v>
      </c>
    </row>
    <row r="11" spans="1:4" x14ac:dyDescent="0.3">
      <c r="A11" s="4" t="s">
        <v>26</v>
      </c>
      <c r="B11" s="4" t="s">
        <v>36</v>
      </c>
      <c r="C11" s="4" t="str">
        <f t="shared" si="0"/>
        <v>รย.1-นั่ง 2 ตอน|อื่นๆ</v>
      </c>
      <c r="D11" s="5">
        <v>300</v>
      </c>
    </row>
    <row r="12" spans="1:4" x14ac:dyDescent="0.3">
      <c r="A12" s="4" t="s">
        <v>27</v>
      </c>
      <c r="B12" s="4" t="s">
        <v>36</v>
      </c>
      <c r="C12" s="4" t="str">
        <f t="shared" si="0"/>
        <v>รย.1-นั่ง 3 ตอน|อื่นๆ</v>
      </c>
      <c r="D12" s="5">
        <v>300</v>
      </c>
    </row>
    <row r="13" spans="1:4" x14ac:dyDescent="0.3">
      <c r="A13" s="4" t="s">
        <v>28</v>
      </c>
      <c r="B13" s="4" t="s">
        <v>36</v>
      </c>
      <c r="C13" s="4" t="str">
        <f t="shared" si="0"/>
        <v>รย.2-นั่ง 2 แถว|อื่นๆ</v>
      </c>
      <c r="D13" s="5">
        <v>500</v>
      </c>
    </row>
    <row r="14" spans="1:4" x14ac:dyDescent="0.3">
      <c r="A14" s="4" t="s">
        <v>29</v>
      </c>
      <c r="B14" s="4" t="s">
        <v>36</v>
      </c>
      <c r="C14" s="4" t="str">
        <f t="shared" si="0"/>
        <v>รย.2-นั่ง 4 ตอน|อื่นๆ</v>
      </c>
      <c r="D14" s="5">
        <v>1000</v>
      </c>
    </row>
    <row r="15" spans="1:4" x14ac:dyDescent="0.3">
      <c r="A15" s="4" t="s">
        <v>30</v>
      </c>
      <c r="B15" s="4" t="s">
        <v>36</v>
      </c>
      <c r="C15" s="4" t="str">
        <f t="shared" si="0"/>
        <v>รย.3-กระบะบรรทุก|อื่นๆ</v>
      </c>
      <c r="D15" s="5">
        <v>300</v>
      </c>
    </row>
    <row r="16" spans="1:4" x14ac:dyDescent="0.3">
      <c r="A16" s="4" t="s">
        <v>31</v>
      </c>
      <c r="B16" s="4" t="s">
        <v>36</v>
      </c>
      <c r="C16" s="4" t="str">
        <f t="shared" si="0"/>
        <v>รย.3-กระบะบรรทุกมีหลังคา|อื่นๆ</v>
      </c>
      <c r="D16" s="5">
        <v>1000</v>
      </c>
    </row>
    <row r="17" spans="1:4" x14ac:dyDescent="0.3">
      <c r="A17" s="4" t="s">
        <v>32</v>
      </c>
      <c r="B17" s="4" t="s">
        <v>36</v>
      </c>
      <c r="C17" s="4" t="str">
        <f t="shared" si="0"/>
        <v>รย.3-กระบะบรรทุกมีหลังคาแหนบ|อื่นๆ</v>
      </c>
      <c r="D17" s="5">
        <v>3000</v>
      </c>
    </row>
    <row r="18" spans="1:4" x14ac:dyDescent="0.3">
      <c r="A18" s="4" t="s">
        <v>33</v>
      </c>
      <c r="B18" s="4" t="s">
        <v>36</v>
      </c>
      <c r="C18" s="4" t="str">
        <f t="shared" si="0"/>
        <v>รย.3-ตู้บรรทุก|อื่นๆ</v>
      </c>
      <c r="D18" s="5">
        <v>1000</v>
      </c>
    </row>
    <row r="19" spans="1:4" x14ac:dyDescent="0.3">
      <c r="A19" s="4" t="s">
        <v>124</v>
      </c>
      <c r="B19" s="4" t="s">
        <v>36</v>
      </c>
      <c r="C19" s="4" t="str">
        <f t="shared" si="0"/>
        <v>นำรถมาตรวจ|อื่นๆ</v>
      </c>
      <c r="D19" s="5">
        <v>0</v>
      </c>
    </row>
    <row r="21" spans="1:4" x14ac:dyDescent="0.3">
      <c r="A21" s="6" t="s">
        <v>128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40" customWidth="1"/>
    <col min="4" max="4" width="16" customWidth="1"/>
  </cols>
  <sheetData>
    <row r="1" spans="1:6" ht="39.6" x14ac:dyDescent="0.3">
      <c r="A1" s="3" t="s">
        <v>129</v>
      </c>
      <c r="B1" s="3" t="s">
        <v>121</v>
      </c>
      <c r="C1" s="3" t="s">
        <v>130</v>
      </c>
      <c r="D1" s="3" t="s">
        <v>131</v>
      </c>
      <c r="F1" s="6" t="s">
        <v>132</v>
      </c>
    </row>
    <row r="2" spans="1:6" x14ac:dyDescent="0.3">
      <c r="A2" s="4" t="s">
        <v>44</v>
      </c>
      <c r="B2" s="4" t="s">
        <v>19</v>
      </c>
      <c r="C2" s="4" t="str">
        <f t="shared" ref="C2:C65" si="0">A2&amp;"|"&amp;B2</f>
        <v>กรุงเทพมหานคร|รย.12-น้อยกว่า 300cc</v>
      </c>
      <c r="D2" s="5"/>
    </row>
    <row r="3" spans="1:6" x14ac:dyDescent="0.3">
      <c r="A3" s="4" t="s">
        <v>44</v>
      </c>
      <c r="B3" s="4" t="s">
        <v>21</v>
      </c>
      <c r="C3" s="4" t="str">
        <f t="shared" si="0"/>
        <v>กรุงเทพมหานคร|รย.12-300-799cc</v>
      </c>
      <c r="D3" s="5"/>
    </row>
    <row r="4" spans="1:6" x14ac:dyDescent="0.3">
      <c r="A4" s="4" t="s">
        <v>44</v>
      </c>
      <c r="B4" s="4" t="s">
        <v>22</v>
      </c>
      <c r="C4" s="4" t="str">
        <f t="shared" si="0"/>
        <v>กรุงเทพมหานคร|รย.12-800-999cc</v>
      </c>
      <c r="D4" s="5"/>
    </row>
    <row r="5" spans="1:6" x14ac:dyDescent="0.3">
      <c r="A5" s="4" t="s">
        <v>44</v>
      </c>
      <c r="B5" s="4" t="s">
        <v>23</v>
      </c>
      <c r="C5" s="4" t="str">
        <f t="shared" si="0"/>
        <v>กรุงเทพมหานคร|รย.12-1000cc ขึ้นไป</v>
      </c>
      <c r="D5" s="5"/>
    </row>
    <row r="6" spans="1:6" x14ac:dyDescent="0.3">
      <c r="A6" s="4" t="s">
        <v>44</v>
      </c>
      <c r="B6" s="4" t="s">
        <v>24</v>
      </c>
      <c r="C6" s="4" t="str">
        <f t="shared" si="0"/>
        <v>กรุงเทพมหานคร|รย.1-เก๋ง 2 ตอน</v>
      </c>
      <c r="D6" s="5"/>
    </row>
    <row r="7" spans="1:6" x14ac:dyDescent="0.3">
      <c r="A7" s="4" t="s">
        <v>44</v>
      </c>
      <c r="B7" s="4" t="s">
        <v>26</v>
      </c>
      <c r="C7" s="4" t="str">
        <f t="shared" si="0"/>
        <v>กรุงเทพมหานคร|รย.1-นั่ง 2 ตอน</v>
      </c>
      <c r="D7" s="5"/>
    </row>
    <row r="8" spans="1:6" x14ac:dyDescent="0.3">
      <c r="A8" s="4" t="s">
        <v>44</v>
      </c>
      <c r="B8" s="4" t="s">
        <v>27</v>
      </c>
      <c r="C8" s="4" t="str">
        <f t="shared" si="0"/>
        <v>กรุงเทพมหานคร|รย.1-นั่ง 3 ตอน</v>
      </c>
      <c r="D8" s="5"/>
    </row>
    <row r="9" spans="1:6" x14ac:dyDescent="0.3">
      <c r="A9" s="4" t="s">
        <v>44</v>
      </c>
      <c r="B9" s="4" t="s">
        <v>28</v>
      </c>
      <c r="C9" s="4" t="str">
        <f t="shared" si="0"/>
        <v>กรุงเทพมหานคร|รย.2-นั่ง 2 แถว</v>
      </c>
      <c r="D9" s="5"/>
    </row>
    <row r="10" spans="1:6" x14ac:dyDescent="0.3">
      <c r="A10" s="4" t="s">
        <v>44</v>
      </c>
      <c r="B10" s="4" t="s">
        <v>29</v>
      </c>
      <c r="C10" s="4" t="str">
        <f t="shared" si="0"/>
        <v>กรุงเทพมหานคร|รย.2-นั่ง 4 ตอน</v>
      </c>
      <c r="D10" s="5"/>
    </row>
    <row r="11" spans="1:6" x14ac:dyDescent="0.3">
      <c r="A11" s="4" t="s">
        <v>44</v>
      </c>
      <c r="B11" s="4" t="s">
        <v>30</v>
      </c>
      <c r="C11" s="4" t="str">
        <f t="shared" si="0"/>
        <v>กรุงเทพมหานคร|รย.3-กระบะบรรทุก</v>
      </c>
      <c r="D11" s="5"/>
    </row>
    <row r="12" spans="1:6" x14ac:dyDescent="0.3">
      <c r="A12" s="4" t="s">
        <v>44</v>
      </c>
      <c r="B12" s="4" t="s">
        <v>31</v>
      </c>
      <c r="C12" s="4" t="str">
        <f t="shared" si="0"/>
        <v>กรุงเทพมหานคร|รย.3-กระบะบรรทุกมีหลังคา</v>
      </c>
      <c r="D12" s="5"/>
    </row>
    <row r="13" spans="1:6" x14ac:dyDescent="0.3">
      <c r="A13" s="4" t="s">
        <v>44</v>
      </c>
      <c r="B13" s="4" t="s">
        <v>32</v>
      </c>
      <c r="C13" s="4" t="str">
        <f t="shared" si="0"/>
        <v>กรุงเทพมหานคร|รย.3-กระบะบรรทุกมีหลังคาแหนบ</v>
      </c>
      <c r="D13" s="5"/>
    </row>
    <row r="14" spans="1:6" x14ac:dyDescent="0.3">
      <c r="A14" s="4" t="s">
        <v>44</v>
      </c>
      <c r="B14" s="4" t="s">
        <v>33</v>
      </c>
      <c r="C14" s="4" t="str">
        <f t="shared" si="0"/>
        <v>กรุงเทพมหานคร|รย.3-ตู้บรรทุก</v>
      </c>
      <c r="D14" s="5"/>
    </row>
    <row r="15" spans="1:6" x14ac:dyDescent="0.3">
      <c r="A15" s="4" t="s">
        <v>45</v>
      </c>
      <c r="B15" s="4" t="s">
        <v>19</v>
      </c>
      <c r="C15" s="4" t="str">
        <f t="shared" si="0"/>
        <v>กระบี่|รย.12-น้อยกว่า 300cc</v>
      </c>
      <c r="D15" s="5"/>
    </row>
    <row r="16" spans="1:6" x14ac:dyDescent="0.3">
      <c r="A16" s="4" t="s">
        <v>45</v>
      </c>
      <c r="B16" s="4" t="s">
        <v>21</v>
      </c>
      <c r="C16" s="4" t="str">
        <f t="shared" si="0"/>
        <v>กระบี่|รย.12-300-799cc</v>
      </c>
      <c r="D16" s="5"/>
    </row>
    <row r="17" spans="1:4" x14ac:dyDescent="0.3">
      <c r="A17" s="4" t="s">
        <v>45</v>
      </c>
      <c r="B17" s="4" t="s">
        <v>22</v>
      </c>
      <c r="C17" s="4" t="str">
        <f t="shared" si="0"/>
        <v>กระบี่|รย.12-800-999cc</v>
      </c>
      <c r="D17" s="5"/>
    </row>
    <row r="18" spans="1:4" x14ac:dyDescent="0.3">
      <c r="A18" s="4" t="s">
        <v>45</v>
      </c>
      <c r="B18" s="4" t="s">
        <v>23</v>
      </c>
      <c r="C18" s="4" t="str">
        <f t="shared" si="0"/>
        <v>กระบี่|รย.12-1000cc ขึ้นไป</v>
      </c>
      <c r="D18" s="5"/>
    </row>
    <row r="19" spans="1:4" x14ac:dyDescent="0.3">
      <c r="A19" s="4" t="s">
        <v>45</v>
      </c>
      <c r="B19" s="4" t="s">
        <v>24</v>
      </c>
      <c r="C19" s="4" t="str">
        <f t="shared" si="0"/>
        <v>กระบี่|รย.1-เก๋ง 2 ตอน</v>
      </c>
      <c r="D19" s="5"/>
    </row>
    <row r="20" spans="1:4" x14ac:dyDescent="0.3">
      <c r="A20" s="4" t="s">
        <v>45</v>
      </c>
      <c r="B20" s="4" t="s">
        <v>26</v>
      </c>
      <c r="C20" s="4" t="str">
        <f t="shared" si="0"/>
        <v>กระบี่|รย.1-นั่ง 2 ตอน</v>
      </c>
      <c r="D20" s="5"/>
    </row>
    <row r="21" spans="1:4" x14ac:dyDescent="0.3">
      <c r="A21" s="4" t="s">
        <v>45</v>
      </c>
      <c r="B21" s="4" t="s">
        <v>27</v>
      </c>
      <c r="C21" s="4" t="str">
        <f t="shared" si="0"/>
        <v>กระบี่|รย.1-นั่ง 3 ตอน</v>
      </c>
      <c r="D21" s="5"/>
    </row>
    <row r="22" spans="1:4" x14ac:dyDescent="0.3">
      <c r="A22" s="4" t="s">
        <v>45</v>
      </c>
      <c r="B22" s="4" t="s">
        <v>28</v>
      </c>
      <c r="C22" s="4" t="str">
        <f t="shared" si="0"/>
        <v>กระบี่|รย.2-นั่ง 2 แถว</v>
      </c>
      <c r="D22" s="5"/>
    </row>
    <row r="23" spans="1:4" x14ac:dyDescent="0.3">
      <c r="A23" s="4" t="s">
        <v>45</v>
      </c>
      <c r="B23" s="4" t="s">
        <v>29</v>
      </c>
      <c r="C23" s="4" t="str">
        <f t="shared" si="0"/>
        <v>กระบี่|รย.2-นั่ง 4 ตอน</v>
      </c>
      <c r="D23" s="5"/>
    </row>
    <row r="24" spans="1:4" x14ac:dyDescent="0.3">
      <c r="A24" s="4" t="s">
        <v>45</v>
      </c>
      <c r="B24" s="4" t="s">
        <v>30</v>
      </c>
      <c r="C24" s="4" t="str">
        <f t="shared" si="0"/>
        <v>กระบี่|รย.3-กระบะบรรทุก</v>
      </c>
      <c r="D24" s="5"/>
    </row>
    <row r="25" spans="1:4" x14ac:dyDescent="0.3">
      <c r="A25" s="4" t="s">
        <v>45</v>
      </c>
      <c r="B25" s="4" t="s">
        <v>31</v>
      </c>
      <c r="C25" s="4" t="str">
        <f t="shared" si="0"/>
        <v>กระบี่|รย.3-กระบะบรรทุกมีหลังคา</v>
      </c>
      <c r="D25" s="5"/>
    </row>
    <row r="26" spans="1:4" x14ac:dyDescent="0.3">
      <c r="A26" s="4" t="s">
        <v>45</v>
      </c>
      <c r="B26" s="4" t="s">
        <v>32</v>
      </c>
      <c r="C26" s="4" t="str">
        <f t="shared" si="0"/>
        <v>กระบี่|รย.3-กระบะบรรทุกมีหลังคาแหนบ</v>
      </c>
      <c r="D26" s="5"/>
    </row>
    <row r="27" spans="1:4" x14ac:dyDescent="0.3">
      <c r="A27" s="4" t="s">
        <v>45</v>
      </c>
      <c r="B27" s="4" t="s">
        <v>33</v>
      </c>
      <c r="C27" s="4" t="str">
        <f t="shared" si="0"/>
        <v>กระบี่|รย.3-ตู้บรรทุก</v>
      </c>
      <c r="D27" s="5"/>
    </row>
    <row r="28" spans="1:4" x14ac:dyDescent="0.3">
      <c r="A28" s="4" t="s">
        <v>46</v>
      </c>
      <c r="B28" s="4" t="s">
        <v>19</v>
      </c>
      <c r="C28" s="4" t="str">
        <f t="shared" si="0"/>
        <v>กาญจนบุรี|รย.12-น้อยกว่า 300cc</v>
      </c>
      <c r="D28" s="5"/>
    </row>
    <row r="29" spans="1:4" x14ac:dyDescent="0.3">
      <c r="A29" s="4" t="s">
        <v>46</v>
      </c>
      <c r="B29" s="4" t="s">
        <v>21</v>
      </c>
      <c r="C29" s="4" t="str">
        <f t="shared" si="0"/>
        <v>กาญจนบุรี|รย.12-300-799cc</v>
      </c>
      <c r="D29" s="5"/>
    </row>
    <row r="30" spans="1:4" x14ac:dyDescent="0.3">
      <c r="A30" s="4" t="s">
        <v>46</v>
      </c>
      <c r="B30" s="4" t="s">
        <v>22</v>
      </c>
      <c r="C30" s="4" t="str">
        <f t="shared" si="0"/>
        <v>กาญจนบุรี|รย.12-800-999cc</v>
      </c>
      <c r="D30" s="5"/>
    </row>
    <row r="31" spans="1:4" x14ac:dyDescent="0.3">
      <c r="A31" s="4" t="s">
        <v>46</v>
      </c>
      <c r="B31" s="4" t="s">
        <v>23</v>
      </c>
      <c r="C31" s="4" t="str">
        <f t="shared" si="0"/>
        <v>กาญจนบุรี|รย.12-1000cc ขึ้นไป</v>
      </c>
      <c r="D31" s="5"/>
    </row>
    <row r="32" spans="1:4" x14ac:dyDescent="0.3">
      <c r="A32" s="4" t="s">
        <v>46</v>
      </c>
      <c r="B32" s="4" t="s">
        <v>24</v>
      </c>
      <c r="C32" s="4" t="str">
        <f t="shared" si="0"/>
        <v>กาญจนบุรี|รย.1-เก๋ง 2 ตอน</v>
      </c>
      <c r="D32" s="5"/>
    </row>
    <row r="33" spans="1:4" x14ac:dyDescent="0.3">
      <c r="A33" s="4" t="s">
        <v>46</v>
      </c>
      <c r="B33" s="4" t="s">
        <v>26</v>
      </c>
      <c r="C33" s="4" t="str">
        <f t="shared" si="0"/>
        <v>กาญจนบุรี|รย.1-นั่ง 2 ตอน</v>
      </c>
      <c r="D33" s="5"/>
    </row>
    <row r="34" spans="1:4" x14ac:dyDescent="0.3">
      <c r="A34" s="4" t="s">
        <v>46</v>
      </c>
      <c r="B34" s="4" t="s">
        <v>27</v>
      </c>
      <c r="C34" s="4" t="str">
        <f t="shared" si="0"/>
        <v>กาญจนบุรี|รย.1-นั่ง 3 ตอน</v>
      </c>
      <c r="D34" s="5"/>
    </row>
    <row r="35" spans="1:4" x14ac:dyDescent="0.3">
      <c r="A35" s="4" t="s">
        <v>46</v>
      </c>
      <c r="B35" s="4" t="s">
        <v>28</v>
      </c>
      <c r="C35" s="4" t="str">
        <f t="shared" si="0"/>
        <v>กาญจนบุรี|รย.2-นั่ง 2 แถว</v>
      </c>
      <c r="D35" s="5"/>
    </row>
    <row r="36" spans="1:4" x14ac:dyDescent="0.3">
      <c r="A36" s="4" t="s">
        <v>46</v>
      </c>
      <c r="B36" s="4" t="s">
        <v>29</v>
      </c>
      <c r="C36" s="4" t="str">
        <f t="shared" si="0"/>
        <v>กาญจนบุรี|รย.2-นั่ง 4 ตอน</v>
      </c>
      <c r="D36" s="5"/>
    </row>
    <row r="37" spans="1:4" x14ac:dyDescent="0.3">
      <c r="A37" s="4" t="s">
        <v>46</v>
      </c>
      <c r="B37" s="4" t="s">
        <v>30</v>
      </c>
      <c r="C37" s="4" t="str">
        <f t="shared" si="0"/>
        <v>กาญจนบุรี|รย.3-กระบะบรรทุก</v>
      </c>
      <c r="D37" s="5"/>
    </row>
    <row r="38" spans="1:4" x14ac:dyDescent="0.3">
      <c r="A38" s="4" t="s">
        <v>46</v>
      </c>
      <c r="B38" s="4" t="s">
        <v>31</v>
      </c>
      <c r="C38" s="4" t="str">
        <f t="shared" si="0"/>
        <v>กาญจนบุรี|รย.3-กระบะบรรทุกมีหลังคา</v>
      </c>
      <c r="D38" s="5"/>
    </row>
    <row r="39" spans="1:4" x14ac:dyDescent="0.3">
      <c r="A39" s="4" t="s">
        <v>46</v>
      </c>
      <c r="B39" s="4" t="s">
        <v>32</v>
      </c>
      <c r="C39" s="4" t="str">
        <f t="shared" si="0"/>
        <v>กาญจนบุรี|รย.3-กระบะบรรทุกมีหลังคาแหนบ</v>
      </c>
      <c r="D39" s="5"/>
    </row>
    <row r="40" spans="1:4" x14ac:dyDescent="0.3">
      <c r="A40" s="4" t="s">
        <v>46</v>
      </c>
      <c r="B40" s="4" t="s">
        <v>33</v>
      </c>
      <c r="C40" s="4" t="str">
        <f t="shared" si="0"/>
        <v>กาญจนบุรี|รย.3-ตู้บรรทุก</v>
      </c>
      <c r="D40" s="5"/>
    </row>
    <row r="41" spans="1:4" x14ac:dyDescent="0.3">
      <c r="A41" s="4" t="s">
        <v>47</v>
      </c>
      <c r="B41" s="4" t="s">
        <v>19</v>
      </c>
      <c r="C41" s="4" t="str">
        <f t="shared" si="0"/>
        <v>กาฬสินธุ์|รย.12-น้อยกว่า 300cc</v>
      </c>
      <c r="D41" s="5"/>
    </row>
    <row r="42" spans="1:4" x14ac:dyDescent="0.3">
      <c r="A42" s="4" t="s">
        <v>47</v>
      </c>
      <c r="B42" s="4" t="s">
        <v>21</v>
      </c>
      <c r="C42" s="4" t="str">
        <f t="shared" si="0"/>
        <v>กาฬสินธุ์|รย.12-300-799cc</v>
      </c>
      <c r="D42" s="5"/>
    </row>
    <row r="43" spans="1:4" x14ac:dyDescent="0.3">
      <c r="A43" s="4" t="s">
        <v>47</v>
      </c>
      <c r="B43" s="4" t="s">
        <v>22</v>
      </c>
      <c r="C43" s="4" t="str">
        <f t="shared" si="0"/>
        <v>กาฬสินธุ์|รย.12-800-999cc</v>
      </c>
      <c r="D43" s="5"/>
    </row>
    <row r="44" spans="1:4" x14ac:dyDescent="0.3">
      <c r="A44" s="4" t="s">
        <v>47</v>
      </c>
      <c r="B44" s="4" t="s">
        <v>23</v>
      </c>
      <c r="C44" s="4" t="str">
        <f t="shared" si="0"/>
        <v>กาฬสินธุ์|รย.12-1000cc ขึ้นไป</v>
      </c>
      <c r="D44" s="5"/>
    </row>
    <row r="45" spans="1:4" x14ac:dyDescent="0.3">
      <c r="A45" s="4" t="s">
        <v>47</v>
      </c>
      <c r="B45" s="4" t="s">
        <v>24</v>
      </c>
      <c r="C45" s="4" t="str">
        <f t="shared" si="0"/>
        <v>กาฬสินธุ์|รย.1-เก๋ง 2 ตอน</v>
      </c>
      <c r="D45" s="5"/>
    </row>
    <row r="46" spans="1:4" x14ac:dyDescent="0.3">
      <c r="A46" s="4" t="s">
        <v>47</v>
      </c>
      <c r="B46" s="4" t="s">
        <v>26</v>
      </c>
      <c r="C46" s="4" t="str">
        <f t="shared" si="0"/>
        <v>กาฬสินธุ์|รย.1-นั่ง 2 ตอน</v>
      </c>
      <c r="D46" s="5"/>
    </row>
    <row r="47" spans="1:4" x14ac:dyDescent="0.3">
      <c r="A47" s="4" t="s">
        <v>47</v>
      </c>
      <c r="B47" s="4" t="s">
        <v>27</v>
      </c>
      <c r="C47" s="4" t="str">
        <f t="shared" si="0"/>
        <v>กาฬสินธุ์|รย.1-นั่ง 3 ตอน</v>
      </c>
      <c r="D47" s="5"/>
    </row>
    <row r="48" spans="1:4" x14ac:dyDescent="0.3">
      <c r="A48" s="4" t="s">
        <v>47</v>
      </c>
      <c r="B48" s="4" t="s">
        <v>28</v>
      </c>
      <c r="C48" s="4" t="str">
        <f t="shared" si="0"/>
        <v>กาฬสินธุ์|รย.2-นั่ง 2 แถว</v>
      </c>
      <c r="D48" s="5"/>
    </row>
    <row r="49" spans="1:4" x14ac:dyDescent="0.3">
      <c r="A49" s="4" t="s">
        <v>47</v>
      </c>
      <c r="B49" s="4" t="s">
        <v>29</v>
      </c>
      <c r="C49" s="4" t="str">
        <f t="shared" si="0"/>
        <v>กาฬสินธุ์|รย.2-นั่ง 4 ตอน</v>
      </c>
      <c r="D49" s="5"/>
    </row>
    <row r="50" spans="1:4" x14ac:dyDescent="0.3">
      <c r="A50" s="4" t="s">
        <v>47</v>
      </c>
      <c r="B50" s="4" t="s">
        <v>30</v>
      </c>
      <c r="C50" s="4" t="str">
        <f t="shared" si="0"/>
        <v>กาฬสินธุ์|รย.3-กระบะบรรทุก</v>
      </c>
      <c r="D50" s="5"/>
    </row>
    <row r="51" spans="1:4" x14ac:dyDescent="0.3">
      <c r="A51" s="4" t="s">
        <v>47</v>
      </c>
      <c r="B51" s="4" t="s">
        <v>31</v>
      </c>
      <c r="C51" s="4" t="str">
        <f t="shared" si="0"/>
        <v>กาฬสินธุ์|รย.3-กระบะบรรทุกมีหลังคา</v>
      </c>
      <c r="D51" s="5"/>
    </row>
    <row r="52" spans="1:4" x14ac:dyDescent="0.3">
      <c r="A52" s="4" t="s">
        <v>47</v>
      </c>
      <c r="B52" s="4" t="s">
        <v>32</v>
      </c>
      <c r="C52" s="4" t="str">
        <f t="shared" si="0"/>
        <v>กาฬสินธุ์|รย.3-กระบะบรรทุกมีหลังคาแหนบ</v>
      </c>
      <c r="D52" s="5"/>
    </row>
    <row r="53" spans="1:4" x14ac:dyDescent="0.3">
      <c r="A53" s="4" t="s">
        <v>47</v>
      </c>
      <c r="B53" s="4" t="s">
        <v>33</v>
      </c>
      <c r="C53" s="4" t="str">
        <f t="shared" si="0"/>
        <v>กาฬสินธุ์|รย.3-ตู้บรรทุก</v>
      </c>
      <c r="D53" s="5"/>
    </row>
    <row r="54" spans="1:4" x14ac:dyDescent="0.3">
      <c r="A54" s="4" t="s">
        <v>48</v>
      </c>
      <c r="B54" s="4" t="s">
        <v>19</v>
      </c>
      <c r="C54" s="4" t="str">
        <f t="shared" si="0"/>
        <v>กำแพงเพชร|รย.12-น้อยกว่า 300cc</v>
      </c>
      <c r="D54" s="5"/>
    </row>
    <row r="55" spans="1:4" x14ac:dyDescent="0.3">
      <c r="A55" s="4" t="s">
        <v>48</v>
      </c>
      <c r="B55" s="4" t="s">
        <v>21</v>
      </c>
      <c r="C55" s="4" t="str">
        <f t="shared" si="0"/>
        <v>กำแพงเพชร|รย.12-300-799cc</v>
      </c>
      <c r="D55" s="5"/>
    </row>
    <row r="56" spans="1:4" x14ac:dyDescent="0.3">
      <c r="A56" s="4" t="s">
        <v>48</v>
      </c>
      <c r="B56" s="4" t="s">
        <v>22</v>
      </c>
      <c r="C56" s="4" t="str">
        <f t="shared" si="0"/>
        <v>กำแพงเพชร|รย.12-800-999cc</v>
      </c>
      <c r="D56" s="5"/>
    </row>
    <row r="57" spans="1:4" x14ac:dyDescent="0.3">
      <c r="A57" s="4" t="s">
        <v>48</v>
      </c>
      <c r="B57" s="4" t="s">
        <v>23</v>
      </c>
      <c r="C57" s="4" t="str">
        <f t="shared" si="0"/>
        <v>กำแพงเพชร|รย.12-1000cc ขึ้นไป</v>
      </c>
      <c r="D57" s="5"/>
    </row>
    <row r="58" spans="1:4" x14ac:dyDescent="0.3">
      <c r="A58" s="4" t="s">
        <v>48</v>
      </c>
      <c r="B58" s="4" t="s">
        <v>24</v>
      </c>
      <c r="C58" s="4" t="str">
        <f t="shared" si="0"/>
        <v>กำแพงเพชร|รย.1-เก๋ง 2 ตอน</v>
      </c>
      <c r="D58" s="5"/>
    </row>
    <row r="59" spans="1:4" x14ac:dyDescent="0.3">
      <c r="A59" s="4" t="s">
        <v>48</v>
      </c>
      <c r="B59" s="4" t="s">
        <v>26</v>
      </c>
      <c r="C59" s="4" t="str">
        <f t="shared" si="0"/>
        <v>กำแพงเพชร|รย.1-นั่ง 2 ตอน</v>
      </c>
      <c r="D59" s="5"/>
    </row>
    <row r="60" spans="1:4" x14ac:dyDescent="0.3">
      <c r="A60" s="4" t="s">
        <v>48</v>
      </c>
      <c r="B60" s="4" t="s">
        <v>27</v>
      </c>
      <c r="C60" s="4" t="str">
        <f t="shared" si="0"/>
        <v>กำแพงเพชร|รย.1-นั่ง 3 ตอน</v>
      </c>
      <c r="D60" s="5"/>
    </row>
    <row r="61" spans="1:4" x14ac:dyDescent="0.3">
      <c r="A61" s="4" t="s">
        <v>48</v>
      </c>
      <c r="B61" s="4" t="s">
        <v>28</v>
      </c>
      <c r="C61" s="4" t="str">
        <f t="shared" si="0"/>
        <v>กำแพงเพชร|รย.2-นั่ง 2 แถว</v>
      </c>
      <c r="D61" s="5"/>
    </row>
    <row r="62" spans="1:4" x14ac:dyDescent="0.3">
      <c r="A62" s="4" t="s">
        <v>48</v>
      </c>
      <c r="B62" s="4" t="s">
        <v>29</v>
      </c>
      <c r="C62" s="4" t="str">
        <f t="shared" si="0"/>
        <v>กำแพงเพชร|รย.2-นั่ง 4 ตอน</v>
      </c>
      <c r="D62" s="5"/>
    </row>
    <row r="63" spans="1:4" x14ac:dyDescent="0.3">
      <c r="A63" s="4" t="s">
        <v>48</v>
      </c>
      <c r="B63" s="4" t="s">
        <v>30</v>
      </c>
      <c r="C63" s="4" t="str">
        <f t="shared" si="0"/>
        <v>กำแพงเพชร|รย.3-กระบะบรรทุก</v>
      </c>
      <c r="D63" s="5"/>
    </row>
    <row r="64" spans="1:4" x14ac:dyDescent="0.3">
      <c r="A64" s="4" t="s">
        <v>48</v>
      </c>
      <c r="B64" s="4" t="s">
        <v>31</v>
      </c>
      <c r="C64" s="4" t="str">
        <f t="shared" si="0"/>
        <v>กำแพงเพชร|รย.3-กระบะบรรทุกมีหลังคา</v>
      </c>
      <c r="D64" s="5"/>
    </row>
    <row r="65" spans="1:4" x14ac:dyDescent="0.3">
      <c r="A65" s="4" t="s">
        <v>48</v>
      </c>
      <c r="B65" s="4" t="s">
        <v>32</v>
      </c>
      <c r="C65" s="4" t="str">
        <f t="shared" si="0"/>
        <v>กำแพงเพชร|รย.3-กระบะบรรทุกมีหลังคาแหนบ</v>
      </c>
      <c r="D65" s="5"/>
    </row>
    <row r="66" spans="1:4" x14ac:dyDescent="0.3">
      <c r="A66" s="4" t="s">
        <v>48</v>
      </c>
      <c r="B66" s="4" t="s">
        <v>33</v>
      </c>
      <c r="C66" s="4" t="str">
        <f t="shared" ref="C66:C129" si="1">A66&amp;"|"&amp;B66</f>
        <v>กำแพงเพชร|รย.3-ตู้บรรทุก</v>
      </c>
      <c r="D66" s="5"/>
    </row>
    <row r="67" spans="1:4" x14ac:dyDescent="0.3">
      <c r="A67" s="4" t="s">
        <v>49</v>
      </c>
      <c r="B67" s="4" t="s">
        <v>19</v>
      </c>
      <c r="C67" s="4" t="str">
        <f t="shared" si="1"/>
        <v>ขอนแก่น|รย.12-น้อยกว่า 300cc</v>
      </c>
      <c r="D67" s="5"/>
    </row>
    <row r="68" spans="1:4" x14ac:dyDescent="0.3">
      <c r="A68" s="4" t="s">
        <v>49</v>
      </c>
      <c r="B68" s="4" t="s">
        <v>21</v>
      </c>
      <c r="C68" s="4" t="str">
        <f t="shared" si="1"/>
        <v>ขอนแก่น|รย.12-300-799cc</v>
      </c>
      <c r="D68" s="5"/>
    </row>
    <row r="69" spans="1:4" x14ac:dyDescent="0.3">
      <c r="A69" s="4" t="s">
        <v>49</v>
      </c>
      <c r="B69" s="4" t="s">
        <v>22</v>
      </c>
      <c r="C69" s="4" t="str">
        <f t="shared" si="1"/>
        <v>ขอนแก่น|รย.12-800-999cc</v>
      </c>
      <c r="D69" s="5"/>
    </row>
    <row r="70" spans="1:4" x14ac:dyDescent="0.3">
      <c r="A70" s="4" t="s">
        <v>49</v>
      </c>
      <c r="B70" s="4" t="s">
        <v>23</v>
      </c>
      <c r="C70" s="4" t="str">
        <f t="shared" si="1"/>
        <v>ขอนแก่น|รย.12-1000cc ขึ้นไป</v>
      </c>
      <c r="D70" s="5"/>
    </row>
    <row r="71" spans="1:4" x14ac:dyDescent="0.3">
      <c r="A71" s="4" t="s">
        <v>49</v>
      </c>
      <c r="B71" s="4" t="s">
        <v>24</v>
      </c>
      <c r="C71" s="4" t="str">
        <f t="shared" si="1"/>
        <v>ขอนแก่น|รย.1-เก๋ง 2 ตอน</v>
      </c>
      <c r="D71" s="5"/>
    </row>
    <row r="72" spans="1:4" x14ac:dyDescent="0.3">
      <c r="A72" s="4" t="s">
        <v>49</v>
      </c>
      <c r="B72" s="4" t="s">
        <v>26</v>
      </c>
      <c r="C72" s="4" t="str">
        <f t="shared" si="1"/>
        <v>ขอนแก่น|รย.1-นั่ง 2 ตอน</v>
      </c>
      <c r="D72" s="5"/>
    </row>
    <row r="73" spans="1:4" x14ac:dyDescent="0.3">
      <c r="A73" s="4" t="s">
        <v>49</v>
      </c>
      <c r="B73" s="4" t="s">
        <v>27</v>
      </c>
      <c r="C73" s="4" t="str">
        <f t="shared" si="1"/>
        <v>ขอนแก่น|รย.1-นั่ง 3 ตอน</v>
      </c>
      <c r="D73" s="5"/>
    </row>
    <row r="74" spans="1:4" x14ac:dyDescent="0.3">
      <c r="A74" s="4" t="s">
        <v>49</v>
      </c>
      <c r="B74" s="4" t="s">
        <v>28</v>
      </c>
      <c r="C74" s="4" t="str">
        <f t="shared" si="1"/>
        <v>ขอนแก่น|รย.2-นั่ง 2 แถว</v>
      </c>
      <c r="D74" s="5"/>
    </row>
    <row r="75" spans="1:4" x14ac:dyDescent="0.3">
      <c r="A75" s="4" t="s">
        <v>49</v>
      </c>
      <c r="B75" s="4" t="s">
        <v>29</v>
      </c>
      <c r="C75" s="4" t="str">
        <f t="shared" si="1"/>
        <v>ขอนแก่น|รย.2-นั่ง 4 ตอน</v>
      </c>
      <c r="D75" s="5"/>
    </row>
    <row r="76" spans="1:4" x14ac:dyDescent="0.3">
      <c r="A76" s="4" t="s">
        <v>49</v>
      </c>
      <c r="B76" s="4" t="s">
        <v>30</v>
      </c>
      <c r="C76" s="4" t="str">
        <f t="shared" si="1"/>
        <v>ขอนแก่น|รย.3-กระบะบรรทุก</v>
      </c>
      <c r="D76" s="5"/>
    </row>
    <row r="77" spans="1:4" x14ac:dyDescent="0.3">
      <c r="A77" s="4" t="s">
        <v>49</v>
      </c>
      <c r="B77" s="4" t="s">
        <v>31</v>
      </c>
      <c r="C77" s="4" t="str">
        <f t="shared" si="1"/>
        <v>ขอนแก่น|รย.3-กระบะบรรทุกมีหลังคา</v>
      </c>
      <c r="D77" s="5"/>
    </row>
    <row r="78" spans="1:4" x14ac:dyDescent="0.3">
      <c r="A78" s="4" t="s">
        <v>49</v>
      </c>
      <c r="B78" s="4" t="s">
        <v>32</v>
      </c>
      <c r="C78" s="4" t="str">
        <f t="shared" si="1"/>
        <v>ขอนแก่น|รย.3-กระบะบรรทุกมีหลังคาแหนบ</v>
      </c>
      <c r="D78" s="5"/>
    </row>
    <row r="79" spans="1:4" x14ac:dyDescent="0.3">
      <c r="A79" s="4" t="s">
        <v>49</v>
      </c>
      <c r="B79" s="4" t="s">
        <v>33</v>
      </c>
      <c r="C79" s="4" t="str">
        <f t="shared" si="1"/>
        <v>ขอนแก่น|รย.3-ตู้บรรทุก</v>
      </c>
      <c r="D79" s="5"/>
    </row>
    <row r="80" spans="1:4" x14ac:dyDescent="0.3">
      <c r="A80" s="4" t="s">
        <v>50</v>
      </c>
      <c r="B80" s="4" t="s">
        <v>19</v>
      </c>
      <c r="C80" s="4" t="str">
        <f t="shared" si="1"/>
        <v>จันทบุรี|รย.12-น้อยกว่า 300cc</v>
      </c>
      <c r="D80" s="5"/>
    </row>
    <row r="81" spans="1:4" x14ac:dyDescent="0.3">
      <c r="A81" s="4" t="s">
        <v>50</v>
      </c>
      <c r="B81" s="4" t="s">
        <v>21</v>
      </c>
      <c r="C81" s="4" t="str">
        <f t="shared" si="1"/>
        <v>จันทบุรี|รย.12-300-799cc</v>
      </c>
      <c r="D81" s="5"/>
    </row>
    <row r="82" spans="1:4" x14ac:dyDescent="0.3">
      <c r="A82" s="4" t="s">
        <v>50</v>
      </c>
      <c r="B82" s="4" t="s">
        <v>22</v>
      </c>
      <c r="C82" s="4" t="str">
        <f t="shared" si="1"/>
        <v>จันทบุรี|รย.12-800-999cc</v>
      </c>
      <c r="D82" s="5"/>
    </row>
    <row r="83" spans="1:4" x14ac:dyDescent="0.3">
      <c r="A83" s="4" t="s">
        <v>50</v>
      </c>
      <c r="B83" s="4" t="s">
        <v>23</v>
      </c>
      <c r="C83" s="4" t="str">
        <f t="shared" si="1"/>
        <v>จันทบุรี|รย.12-1000cc ขึ้นไป</v>
      </c>
      <c r="D83" s="5"/>
    </row>
    <row r="84" spans="1:4" x14ac:dyDescent="0.3">
      <c r="A84" s="4" t="s">
        <v>50</v>
      </c>
      <c r="B84" s="4" t="s">
        <v>24</v>
      </c>
      <c r="C84" s="4" t="str">
        <f t="shared" si="1"/>
        <v>จันทบุรี|รย.1-เก๋ง 2 ตอน</v>
      </c>
      <c r="D84" s="5"/>
    </row>
    <row r="85" spans="1:4" x14ac:dyDescent="0.3">
      <c r="A85" s="4" t="s">
        <v>50</v>
      </c>
      <c r="B85" s="4" t="s">
        <v>26</v>
      </c>
      <c r="C85" s="4" t="str">
        <f t="shared" si="1"/>
        <v>จันทบุรี|รย.1-นั่ง 2 ตอน</v>
      </c>
      <c r="D85" s="5"/>
    </row>
    <row r="86" spans="1:4" x14ac:dyDescent="0.3">
      <c r="A86" s="4" t="s">
        <v>50</v>
      </c>
      <c r="B86" s="4" t="s">
        <v>27</v>
      </c>
      <c r="C86" s="4" t="str">
        <f t="shared" si="1"/>
        <v>จันทบุรี|รย.1-นั่ง 3 ตอน</v>
      </c>
      <c r="D86" s="5"/>
    </row>
    <row r="87" spans="1:4" x14ac:dyDescent="0.3">
      <c r="A87" s="4" t="s">
        <v>50</v>
      </c>
      <c r="B87" s="4" t="s">
        <v>28</v>
      </c>
      <c r="C87" s="4" t="str">
        <f t="shared" si="1"/>
        <v>จันทบุรี|รย.2-นั่ง 2 แถว</v>
      </c>
      <c r="D87" s="5"/>
    </row>
    <row r="88" spans="1:4" x14ac:dyDescent="0.3">
      <c r="A88" s="4" t="s">
        <v>50</v>
      </c>
      <c r="B88" s="4" t="s">
        <v>29</v>
      </c>
      <c r="C88" s="4" t="str">
        <f t="shared" si="1"/>
        <v>จันทบุรี|รย.2-นั่ง 4 ตอน</v>
      </c>
      <c r="D88" s="5"/>
    </row>
    <row r="89" spans="1:4" x14ac:dyDescent="0.3">
      <c r="A89" s="4" t="s">
        <v>50</v>
      </c>
      <c r="B89" s="4" t="s">
        <v>30</v>
      </c>
      <c r="C89" s="4" t="str">
        <f t="shared" si="1"/>
        <v>จันทบุรี|รย.3-กระบะบรรทุก</v>
      </c>
      <c r="D89" s="5"/>
    </row>
    <row r="90" spans="1:4" x14ac:dyDescent="0.3">
      <c r="A90" s="4" t="s">
        <v>50</v>
      </c>
      <c r="B90" s="4" t="s">
        <v>31</v>
      </c>
      <c r="C90" s="4" t="str">
        <f t="shared" si="1"/>
        <v>จันทบุรี|รย.3-กระบะบรรทุกมีหลังคา</v>
      </c>
      <c r="D90" s="5"/>
    </row>
    <row r="91" spans="1:4" x14ac:dyDescent="0.3">
      <c r="A91" s="4" t="s">
        <v>50</v>
      </c>
      <c r="B91" s="4" t="s">
        <v>32</v>
      </c>
      <c r="C91" s="4" t="str">
        <f t="shared" si="1"/>
        <v>จันทบุรี|รย.3-กระบะบรรทุกมีหลังคาแหนบ</v>
      </c>
      <c r="D91" s="5"/>
    </row>
    <row r="92" spans="1:4" x14ac:dyDescent="0.3">
      <c r="A92" s="4" t="s">
        <v>50</v>
      </c>
      <c r="B92" s="4" t="s">
        <v>33</v>
      </c>
      <c r="C92" s="4" t="str">
        <f t="shared" si="1"/>
        <v>จันทบุรี|รย.3-ตู้บรรทุก</v>
      </c>
      <c r="D92" s="5"/>
    </row>
    <row r="93" spans="1:4" x14ac:dyDescent="0.3">
      <c r="A93" s="4" t="s">
        <v>51</v>
      </c>
      <c r="B93" s="4" t="s">
        <v>19</v>
      </c>
      <c r="C93" s="4" t="str">
        <f t="shared" si="1"/>
        <v>ฉะเชิงเทรา|รย.12-น้อยกว่า 300cc</v>
      </c>
      <c r="D93" s="5"/>
    </row>
    <row r="94" spans="1:4" x14ac:dyDescent="0.3">
      <c r="A94" s="4" t="s">
        <v>51</v>
      </c>
      <c r="B94" s="4" t="s">
        <v>21</v>
      </c>
      <c r="C94" s="4" t="str">
        <f t="shared" si="1"/>
        <v>ฉะเชิงเทรา|รย.12-300-799cc</v>
      </c>
      <c r="D94" s="5"/>
    </row>
    <row r="95" spans="1:4" x14ac:dyDescent="0.3">
      <c r="A95" s="4" t="s">
        <v>51</v>
      </c>
      <c r="B95" s="4" t="s">
        <v>22</v>
      </c>
      <c r="C95" s="4" t="str">
        <f t="shared" si="1"/>
        <v>ฉะเชิงเทรา|รย.12-800-999cc</v>
      </c>
      <c r="D95" s="5"/>
    </row>
    <row r="96" spans="1:4" x14ac:dyDescent="0.3">
      <c r="A96" s="4" t="s">
        <v>51</v>
      </c>
      <c r="B96" s="4" t="s">
        <v>23</v>
      </c>
      <c r="C96" s="4" t="str">
        <f t="shared" si="1"/>
        <v>ฉะเชิงเทรา|รย.12-1000cc ขึ้นไป</v>
      </c>
      <c r="D96" s="5"/>
    </row>
    <row r="97" spans="1:4" x14ac:dyDescent="0.3">
      <c r="A97" s="4" t="s">
        <v>51</v>
      </c>
      <c r="B97" s="4" t="s">
        <v>24</v>
      </c>
      <c r="C97" s="4" t="str">
        <f t="shared" si="1"/>
        <v>ฉะเชิงเทรา|รย.1-เก๋ง 2 ตอน</v>
      </c>
      <c r="D97" s="5"/>
    </row>
    <row r="98" spans="1:4" x14ac:dyDescent="0.3">
      <c r="A98" s="4" t="s">
        <v>51</v>
      </c>
      <c r="B98" s="4" t="s">
        <v>26</v>
      </c>
      <c r="C98" s="4" t="str">
        <f t="shared" si="1"/>
        <v>ฉะเชิงเทรา|รย.1-นั่ง 2 ตอน</v>
      </c>
      <c r="D98" s="5"/>
    </row>
    <row r="99" spans="1:4" x14ac:dyDescent="0.3">
      <c r="A99" s="4" t="s">
        <v>51</v>
      </c>
      <c r="B99" s="4" t="s">
        <v>27</v>
      </c>
      <c r="C99" s="4" t="str">
        <f t="shared" si="1"/>
        <v>ฉะเชิงเทรา|รย.1-นั่ง 3 ตอน</v>
      </c>
      <c r="D99" s="5"/>
    </row>
    <row r="100" spans="1:4" x14ac:dyDescent="0.3">
      <c r="A100" s="4" t="s">
        <v>51</v>
      </c>
      <c r="B100" s="4" t="s">
        <v>28</v>
      </c>
      <c r="C100" s="4" t="str">
        <f t="shared" si="1"/>
        <v>ฉะเชิงเทรา|รย.2-นั่ง 2 แถว</v>
      </c>
      <c r="D100" s="5"/>
    </row>
    <row r="101" spans="1:4" x14ac:dyDescent="0.3">
      <c r="A101" s="4" t="s">
        <v>51</v>
      </c>
      <c r="B101" s="4" t="s">
        <v>29</v>
      </c>
      <c r="C101" s="4" t="str">
        <f t="shared" si="1"/>
        <v>ฉะเชิงเทรา|รย.2-นั่ง 4 ตอน</v>
      </c>
      <c r="D101" s="5"/>
    </row>
    <row r="102" spans="1:4" x14ac:dyDescent="0.3">
      <c r="A102" s="4" t="s">
        <v>51</v>
      </c>
      <c r="B102" s="4" t="s">
        <v>30</v>
      </c>
      <c r="C102" s="4" t="str">
        <f t="shared" si="1"/>
        <v>ฉะเชิงเทรา|รย.3-กระบะบรรทุก</v>
      </c>
      <c r="D102" s="5"/>
    </row>
    <row r="103" spans="1:4" x14ac:dyDescent="0.3">
      <c r="A103" s="4" t="s">
        <v>51</v>
      </c>
      <c r="B103" s="4" t="s">
        <v>31</v>
      </c>
      <c r="C103" s="4" t="str">
        <f t="shared" si="1"/>
        <v>ฉะเชิงเทรา|รย.3-กระบะบรรทุกมีหลังคา</v>
      </c>
      <c r="D103" s="5"/>
    </row>
    <row r="104" spans="1:4" x14ac:dyDescent="0.3">
      <c r="A104" s="4" t="s">
        <v>51</v>
      </c>
      <c r="B104" s="4" t="s">
        <v>32</v>
      </c>
      <c r="C104" s="4" t="str">
        <f t="shared" si="1"/>
        <v>ฉะเชิงเทรา|รย.3-กระบะบรรทุกมีหลังคาแหนบ</v>
      </c>
      <c r="D104" s="5"/>
    </row>
    <row r="105" spans="1:4" x14ac:dyDescent="0.3">
      <c r="A105" s="4" t="s">
        <v>51</v>
      </c>
      <c r="B105" s="4" t="s">
        <v>33</v>
      </c>
      <c r="C105" s="4" t="str">
        <f t="shared" si="1"/>
        <v>ฉะเชิงเทรา|รย.3-ตู้บรรทุก</v>
      </c>
      <c r="D105" s="5"/>
    </row>
    <row r="106" spans="1:4" x14ac:dyDescent="0.3">
      <c r="A106" s="4" t="s">
        <v>52</v>
      </c>
      <c r="B106" s="4" t="s">
        <v>19</v>
      </c>
      <c r="C106" s="4" t="str">
        <f t="shared" si="1"/>
        <v>ชลบุรี|รย.12-น้อยกว่า 300cc</v>
      </c>
      <c r="D106" s="5"/>
    </row>
    <row r="107" spans="1:4" x14ac:dyDescent="0.3">
      <c r="A107" s="4" t="s">
        <v>52</v>
      </c>
      <c r="B107" s="4" t="s">
        <v>21</v>
      </c>
      <c r="C107" s="4" t="str">
        <f t="shared" si="1"/>
        <v>ชลบุรี|รย.12-300-799cc</v>
      </c>
      <c r="D107" s="5"/>
    </row>
    <row r="108" spans="1:4" x14ac:dyDescent="0.3">
      <c r="A108" s="4" t="s">
        <v>52</v>
      </c>
      <c r="B108" s="4" t="s">
        <v>22</v>
      </c>
      <c r="C108" s="4" t="str">
        <f t="shared" si="1"/>
        <v>ชลบุรี|รย.12-800-999cc</v>
      </c>
      <c r="D108" s="5"/>
    </row>
    <row r="109" spans="1:4" x14ac:dyDescent="0.3">
      <c r="A109" s="4" t="s">
        <v>52</v>
      </c>
      <c r="B109" s="4" t="s">
        <v>23</v>
      </c>
      <c r="C109" s="4" t="str">
        <f t="shared" si="1"/>
        <v>ชลบุรี|รย.12-1000cc ขึ้นไป</v>
      </c>
      <c r="D109" s="5"/>
    </row>
    <row r="110" spans="1:4" x14ac:dyDescent="0.3">
      <c r="A110" s="4" t="s">
        <v>52</v>
      </c>
      <c r="B110" s="4" t="s">
        <v>24</v>
      </c>
      <c r="C110" s="4" t="str">
        <f t="shared" si="1"/>
        <v>ชลบุรี|รย.1-เก๋ง 2 ตอน</v>
      </c>
      <c r="D110" s="5"/>
    </row>
    <row r="111" spans="1:4" x14ac:dyDescent="0.3">
      <c r="A111" s="4" t="s">
        <v>52</v>
      </c>
      <c r="B111" s="4" t="s">
        <v>26</v>
      </c>
      <c r="C111" s="4" t="str">
        <f t="shared" si="1"/>
        <v>ชลบุรี|รย.1-นั่ง 2 ตอน</v>
      </c>
      <c r="D111" s="5"/>
    </row>
    <row r="112" spans="1:4" x14ac:dyDescent="0.3">
      <c r="A112" s="4" t="s">
        <v>52</v>
      </c>
      <c r="B112" s="4" t="s">
        <v>27</v>
      </c>
      <c r="C112" s="4" t="str">
        <f t="shared" si="1"/>
        <v>ชลบุรี|รย.1-นั่ง 3 ตอน</v>
      </c>
      <c r="D112" s="5"/>
    </row>
    <row r="113" spans="1:4" x14ac:dyDescent="0.3">
      <c r="A113" s="4" t="s">
        <v>52</v>
      </c>
      <c r="B113" s="4" t="s">
        <v>28</v>
      </c>
      <c r="C113" s="4" t="str">
        <f t="shared" si="1"/>
        <v>ชลบุรี|รย.2-นั่ง 2 แถว</v>
      </c>
      <c r="D113" s="5"/>
    </row>
    <row r="114" spans="1:4" x14ac:dyDescent="0.3">
      <c r="A114" s="4" t="s">
        <v>52</v>
      </c>
      <c r="B114" s="4" t="s">
        <v>29</v>
      </c>
      <c r="C114" s="4" t="str">
        <f t="shared" si="1"/>
        <v>ชลบุรี|รย.2-นั่ง 4 ตอน</v>
      </c>
      <c r="D114" s="5"/>
    </row>
    <row r="115" spans="1:4" x14ac:dyDescent="0.3">
      <c r="A115" s="4" t="s">
        <v>52</v>
      </c>
      <c r="B115" s="4" t="s">
        <v>30</v>
      </c>
      <c r="C115" s="4" t="str">
        <f t="shared" si="1"/>
        <v>ชลบุรี|รย.3-กระบะบรรทุก</v>
      </c>
      <c r="D115" s="5"/>
    </row>
    <row r="116" spans="1:4" x14ac:dyDescent="0.3">
      <c r="A116" s="4" t="s">
        <v>52</v>
      </c>
      <c r="B116" s="4" t="s">
        <v>31</v>
      </c>
      <c r="C116" s="4" t="str">
        <f t="shared" si="1"/>
        <v>ชลบุรี|รย.3-กระบะบรรทุกมีหลังคา</v>
      </c>
      <c r="D116" s="5"/>
    </row>
    <row r="117" spans="1:4" x14ac:dyDescent="0.3">
      <c r="A117" s="4" t="s">
        <v>52</v>
      </c>
      <c r="B117" s="4" t="s">
        <v>32</v>
      </c>
      <c r="C117" s="4" t="str">
        <f t="shared" si="1"/>
        <v>ชลบุรี|รย.3-กระบะบรรทุกมีหลังคาแหนบ</v>
      </c>
      <c r="D117" s="5"/>
    </row>
    <row r="118" spans="1:4" x14ac:dyDescent="0.3">
      <c r="A118" s="4" t="s">
        <v>52</v>
      </c>
      <c r="B118" s="4" t="s">
        <v>33</v>
      </c>
      <c r="C118" s="4" t="str">
        <f t="shared" si="1"/>
        <v>ชลบุรี|รย.3-ตู้บรรทุก</v>
      </c>
      <c r="D118" s="5"/>
    </row>
    <row r="119" spans="1:4" x14ac:dyDescent="0.3">
      <c r="A119" s="4" t="s">
        <v>53</v>
      </c>
      <c r="B119" s="4" t="s">
        <v>19</v>
      </c>
      <c r="C119" s="4" t="str">
        <f t="shared" si="1"/>
        <v>ชัยนาท|รย.12-น้อยกว่า 300cc</v>
      </c>
      <c r="D119" s="5"/>
    </row>
    <row r="120" spans="1:4" x14ac:dyDescent="0.3">
      <c r="A120" s="4" t="s">
        <v>53</v>
      </c>
      <c r="B120" s="4" t="s">
        <v>21</v>
      </c>
      <c r="C120" s="4" t="str">
        <f t="shared" si="1"/>
        <v>ชัยนาท|รย.12-300-799cc</v>
      </c>
      <c r="D120" s="5"/>
    </row>
    <row r="121" spans="1:4" x14ac:dyDescent="0.3">
      <c r="A121" s="4" t="s">
        <v>53</v>
      </c>
      <c r="B121" s="4" t="s">
        <v>22</v>
      </c>
      <c r="C121" s="4" t="str">
        <f t="shared" si="1"/>
        <v>ชัยนาท|รย.12-800-999cc</v>
      </c>
      <c r="D121" s="5"/>
    </row>
    <row r="122" spans="1:4" x14ac:dyDescent="0.3">
      <c r="A122" s="4" t="s">
        <v>53</v>
      </c>
      <c r="B122" s="4" t="s">
        <v>23</v>
      </c>
      <c r="C122" s="4" t="str">
        <f t="shared" si="1"/>
        <v>ชัยนาท|รย.12-1000cc ขึ้นไป</v>
      </c>
      <c r="D122" s="5"/>
    </row>
    <row r="123" spans="1:4" x14ac:dyDescent="0.3">
      <c r="A123" s="4" t="s">
        <v>53</v>
      </c>
      <c r="B123" s="4" t="s">
        <v>24</v>
      </c>
      <c r="C123" s="4" t="str">
        <f t="shared" si="1"/>
        <v>ชัยนาท|รย.1-เก๋ง 2 ตอน</v>
      </c>
      <c r="D123" s="5"/>
    </row>
    <row r="124" spans="1:4" x14ac:dyDescent="0.3">
      <c r="A124" s="4" t="s">
        <v>53</v>
      </c>
      <c r="B124" s="4" t="s">
        <v>26</v>
      </c>
      <c r="C124" s="4" t="str">
        <f t="shared" si="1"/>
        <v>ชัยนาท|รย.1-นั่ง 2 ตอน</v>
      </c>
      <c r="D124" s="5"/>
    </row>
    <row r="125" spans="1:4" x14ac:dyDescent="0.3">
      <c r="A125" s="4" t="s">
        <v>53</v>
      </c>
      <c r="B125" s="4" t="s">
        <v>27</v>
      </c>
      <c r="C125" s="4" t="str">
        <f t="shared" si="1"/>
        <v>ชัยนาท|รย.1-นั่ง 3 ตอน</v>
      </c>
      <c r="D125" s="5"/>
    </row>
    <row r="126" spans="1:4" x14ac:dyDescent="0.3">
      <c r="A126" s="4" t="s">
        <v>53</v>
      </c>
      <c r="B126" s="4" t="s">
        <v>28</v>
      </c>
      <c r="C126" s="4" t="str">
        <f t="shared" si="1"/>
        <v>ชัยนาท|รย.2-นั่ง 2 แถว</v>
      </c>
      <c r="D126" s="5"/>
    </row>
    <row r="127" spans="1:4" x14ac:dyDescent="0.3">
      <c r="A127" s="4" t="s">
        <v>53</v>
      </c>
      <c r="B127" s="4" t="s">
        <v>29</v>
      </c>
      <c r="C127" s="4" t="str">
        <f t="shared" si="1"/>
        <v>ชัยนาท|รย.2-นั่ง 4 ตอน</v>
      </c>
      <c r="D127" s="5"/>
    </row>
    <row r="128" spans="1:4" x14ac:dyDescent="0.3">
      <c r="A128" s="4" t="s">
        <v>53</v>
      </c>
      <c r="B128" s="4" t="s">
        <v>30</v>
      </c>
      <c r="C128" s="4" t="str">
        <f t="shared" si="1"/>
        <v>ชัยนาท|รย.3-กระบะบรรทุก</v>
      </c>
      <c r="D128" s="5"/>
    </row>
    <row r="129" spans="1:4" x14ac:dyDescent="0.3">
      <c r="A129" s="4" t="s">
        <v>53</v>
      </c>
      <c r="B129" s="4" t="s">
        <v>31</v>
      </c>
      <c r="C129" s="4" t="str">
        <f t="shared" si="1"/>
        <v>ชัยนาท|รย.3-กระบะบรรทุกมีหลังคา</v>
      </c>
      <c r="D129" s="5"/>
    </row>
    <row r="130" spans="1:4" x14ac:dyDescent="0.3">
      <c r="A130" s="4" t="s">
        <v>53</v>
      </c>
      <c r="B130" s="4" t="s">
        <v>32</v>
      </c>
      <c r="C130" s="4" t="str">
        <f t="shared" ref="C130:C193" si="2">A130&amp;"|"&amp;B130</f>
        <v>ชัยนาท|รย.3-กระบะบรรทุกมีหลังคาแหนบ</v>
      </c>
      <c r="D130" s="5"/>
    </row>
    <row r="131" spans="1:4" x14ac:dyDescent="0.3">
      <c r="A131" s="4" t="s">
        <v>53</v>
      </c>
      <c r="B131" s="4" t="s">
        <v>33</v>
      </c>
      <c r="C131" s="4" t="str">
        <f t="shared" si="2"/>
        <v>ชัยนาท|รย.3-ตู้บรรทุก</v>
      </c>
      <c r="D131" s="5"/>
    </row>
    <row r="132" spans="1:4" x14ac:dyDescent="0.3">
      <c r="A132" s="4" t="s">
        <v>54</v>
      </c>
      <c r="B132" s="4" t="s">
        <v>19</v>
      </c>
      <c r="C132" s="4" t="str">
        <f t="shared" si="2"/>
        <v>ชัยภูมิ|รย.12-น้อยกว่า 300cc</v>
      </c>
      <c r="D132" s="5"/>
    </row>
    <row r="133" spans="1:4" x14ac:dyDescent="0.3">
      <c r="A133" s="4" t="s">
        <v>54</v>
      </c>
      <c r="B133" s="4" t="s">
        <v>21</v>
      </c>
      <c r="C133" s="4" t="str">
        <f t="shared" si="2"/>
        <v>ชัยภูมิ|รย.12-300-799cc</v>
      </c>
      <c r="D133" s="5"/>
    </row>
    <row r="134" spans="1:4" x14ac:dyDescent="0.3">
      <c r="A134" s="4" t="s">
        <v>54</v>
      </c>
      <c r="B134" s="4" t="s">
        <v>22</v>
      </c>
      <c r="C134" s="4" t="str">
        <f t="shared" si="2"/>
        <v>ชัยภูมิ|รย.12-800-999cc</v>
      </c>
      <c r="D134" s="5"/>
    </row>
    <row r="135" spans="1:4" x14ac:dyDescent="0.3">
      <c r="A135" s="4" t="s">
        <v>54</v>
      </c>
      <c r="B135" s="4" t="s">
        <v>23</v>
      </c>
      <c r="C135" s="4" t="str">
        <f t="shared" si="2"/>
        <v>ชัยภูมิ|รย.12-1000cc ขึ้นไป</v>
      </c>
      <c r="D135" s="5"/>
    </row>
    <row r="136" spans="1:4" x14ac:dyDescent="0.3">
      <c r="A136" s="4" t="s">
        <v>54</v>
      </c>
      <c r="B136" s="4" t="s">
        <v>24</v>
      </c>
      <c r="C136" s="4" t="str">
        <f t="shared" si="2"/>
        <v>ชัยภูมิ|รย.1-เก๋ง 2 ตอน</v>
      </c>
      <c r="D136" s="5"/>
    </row>
    <row r="137" spans="1:4" x14ac:dyDescent="0.3">
      <c r="A137" s="4" t="s">
        <v>54</v>
      </c>
      <c r="B137" s="4" t="s">
        <v>26</v>
      </c>
      <c r="C137" s="4" t="str">
        <f t="shared" si="2"/>
        <v>ชัยภูมิ|รย.1-นั่ง 2 ตอน</v>
      </c>
      <c r="D137" s="5"/>
    </row>
    <row r="138" spans="1:4" x14ac:dyDescent="0.3">
      <c r="A138" s="4" t="s">
        <v>54</v>
      </c>
      <c r="B138" s="4" t="s">
        <v>27</v>
      </c>
      <c r="C138" s="4" t="str">
        <f t="shared" si="2"/>
        <v>ชัยภูมิ|รย.1-นั่ง 3 ตอน</v>
      </c>
      <c r="D138" s="5"/>
    </row>
    <row r="139" spans="1:4" x14ac:dyDescent="0.3">
      <c r="A139" s="4" t="s">
        <v>54</v>
      </c>
      <c r="B139" s="4" t="s">
        <v>28</v>
      </c>
      <c r="C139" s="4" t="str">
        <f t="shared" si="2"/>
        <v>ชัยภูมิ|รย.2-นั่ง 2 แถว</v>
      </c>
      <c r="D139" s="5"/>
    </row>
    <row r="140" spans="1:4" x14ac:dyDescent="0.3">
      <c r="A140" s="4" t="s">
        <v>54</v>
      </c>
      <c r="B140" s="4" t="s">
        <v>29</v>
      </c>
      <c r="C140" s="4" t="str">
        <f t="shared" si="2"/>
        <v>ชัยภูมิ|รย.2-นั่ง 4 ตอน</v>
      </c>
      <c r="D140" s="5"/>
    </row>
    <row r="141" spans="1:4" x14ac:dyDescent="0.3">
      <c r="A141" s="4" t="s">
        <v>54</v>
      </c>
      <c r="B141" s="4" t="s">
        <v>30</v>
      </c>
      <c r="C141" s="4" t="str">
        <f t="shared" si="2"/>
        <v>ชัยภูมิ|รย.3-กระบะบรรทุก</v>
      </c>
      <c r="D141" s="5"/>
    </row>
    <row r="142" spans="1:4" x14ac:dyDescent="0.3">
      <c r="A142" s="4" t="s">
        <v>54</v>
      </c>
      <c r="B142" s="4" t="s">
        <v>31</v>
      </c>
      <c r="C142" s="4" t="str">
        <f t="shared" si="2"/>
        <v>ชัยภูมิ|รย.3-กระบะบรรทุกมีหลังคา</v>
      </c>
      <c r="D142" s="5"/>
    </row>
    <row r="143" spans="1:4" x14ac:dyDescent="0.3">
      <c r="A143" s="4" t="s">
        <v>54</v>
      </c>
      <c r="B143" s="4" t="s">
        <v>32</v>
      </c>
      <c r="C143" s="4" t="str">
        <f t="shared" si="2"/>
        <v>ชัยภูมิ|รย.3-กระบะบรรทุกมีหลังคาแหนบ</v>
      </c>
      <c r="D143" s="5"/>
    </row>
    <row r="144" spans="1:4" x14ac:dyDescent="0.3">
      <c r="A144" s="4" t="s">
        <v>54</v>
      </c>
      <c r="B144" s="4" t="s">
        <v>33</v>
      </c>
      <c r="C144" s="4" t="str">
        <f t="shared" si="2"/>
        <v>ชัยภูมิ|รย.3-ตู้บรรทุก</v>
      </c>
      <c r="D144" s="5"/>
    </row>
    <row r="145" spans="1:4" x14ac:dyDescent="0.3">
      <c r="A145" s="4" t="s">
        <v>55</v>
      </c>
      <c r="B145" s="4" t="s">
        <v>19</v>
      </c>
      <c r="C145" s="4" t="str">
        <f t="shared" si="2"/>
        <v>ชุมพร|รย.12-น้อยกว่า 300cc</v>
      </c>
      <c r="D145" s="5"/>
    </row>
    <row r="146" spans="1:4" x14ac:dyDescent="0.3">
      <c r="A146" s="4" t="s">
        <v>55</v>
      </c>
      <c r="B146" s="4" t="s">
        <v>21</v>
      </c>
      <c r="C146" s="4" t="str">
        <f t="shared" si="2"/>
        <v>ชุมพร|รย.12-300-799cc</v>
      </c>
      <c r="D146" s="5"/>
    </row>
    <row r="147" spans="1:4" x14ac:dyDescent="0.3">
      <c r="A147" s="4" t="s">
        <v>55</v>
      </c>
      <c r="B147" s="4" t="s">
        <v>22</v>
      </c>
      <c r="C147" s="4" t="str">
        <f t="shared" si="2"/>
        <v>ชุมพร|รย.12-800-999cc</v>
      </c>
      <c r="D147" s="5"/>
    </row>
    <row r="148" spans="1:4" x14ac:dyDescent="0.3">
      <c r="A148" s="4" t="s">
        <v>55</v>
      </c>
      <c r="B148" s="4" t="s">
        <v>23</v>
      </c>
      <c r="C148" s="4" t="str">
        <f t="shared" si="2"/>
        <v>ชุมพร|รย.12-1000cc ขึ้นไป</v>
      </c>
      <c r="D148" s="5"/>
    </row>
    <row r="149" spans="1:4" x14ac:dyDescent="0.3">
      <c r="A149" s="4" t="s">
        <v>55</v>
      </c>
      <c r="B149" s="4" t="s">
        <v>24</v>
      </c>
      <c r="C149" s="4" t="str">
        <f t="shared" si="2"/>
        <v>ชุมพร|รย.1-เก๋ง 2 ตอน</v>
      </c>
      <c r="D149" s="5"/>
    </row>
    <row r="150" spans="1:4" x14ac:dyDescent="0.3">
      <c r="A150" s="4" t="s">
        <v>55</v>
      </c>
      <c r="B150" s="4" t="s">
        <v>26</v>
      </c>
      <c r="C150" s="4" t="str">
        <f t="shared" si="2"/>
        <v>ชุมพร|รย.1-นั่ง 2 ตอน</v>
      </c>
      <c r="D150" s="5"/>
    </row>
    <row r="151" spans="1:4" x14ac:dyDescent="0.3">
      <c r="A151" s="4" t="s">
        <v>55</v>
      </c>
      <c r="B151" s="4" t="s">
        <v>27</v>
      </c>
      <c r="C151" s="4" t="str">
        <f t="shared" si="2"/>
        <v>ชุมพร|รย.1-นั่ง 3 ตอน</v>
      </c>
      <c r="D151" s="5"/>
    </row>
    <row r="152" spans="1:4" x14ac:dyDescent="0.3">
      <c r="A152" s="4" t="s">
        <v>55</v>
      </c>
      <c r="B152" s="4" t="s">
        <v>28</v>
      </c>
      <c r="C152" s="4" t="str">
        <f t="shared" si="2"/>
        <v>ชุมพร|รย.2-นั่ง 2 แถว</v>
      </c>
      <c r="D152" s="5"/>
    </row>
    <row r="153" spans="1:4" x14ac:dyDescent="0.3">
      <c r="A153" s="4" t="s">
        <v>55</v>
      </c>
      <c r="B153" s="4" t="s">
        <v>29</v>
      </c>
      <c r="C153" s="4" t="str">
        <f t="shared" si="2"/>
        <v>ชุมพร|รย.2-นั่ง 4 ตอน</v>
      </c>
      <c r="D153" s="5"/>
    </row>
    <row r="154" spans="1:4" x14ac:dyDescent="0.3">
      <c r="A154" s="4" t="s">
        <v>55</v>
      </c>
      <c r="B154" s="4" t="s">
        <v>30</v>
      </c>
      <c r="C154" s="4" t="str">
        <f t="shared" si="2"/>
        <v>ชุมพร|รย.3-กระบะบรรทุก</v>
      </c>
      <c r="D154" s="5"/>
    </row>
    <row r="155" spans="1:4" x14ac:dyDescent="0.3">
      <c r="A155" s="4" t="s">
        <v>55</v>
      </c>
      <c r="B155" s="4" t="s">
        <v>31</v>
      </c>
      <c r="C155" s="4" t="str">
        <f t="shared" si="2"/>
        <v>ชุมพร|รย.3-กระบะบรรทุกมีหลังคา</v>
      </c>
      <c r="D155" s="5"/>
    </row>
    <row r="156" spans="1:4" x14ac:dyDescent="0.3">
      <c r="A156" s="4" t="s">
        <v>55</v>
      </c>
      <c r="B156" s="4" t="s">
        <v>32</v>
      </c>
      <c r="C156" s="4" t="str">
        <f t="shared" si="2"/>
        <v>ชุมพร|รย.3-กระบะบรรทุกมีหลังคาแหนบ</v>
      </c>
      <c r="D156" s="5"/>
    </row>
    <row r="157" spans="1:4" x14ac:dyDescent="0.3">
      <c r="A157" s="4" t="s">
        <v>55</v>
      </c>
      <c r="B157" s="4" t="s">
        <v>33</v>
      </c>
      <c r="C157" s="4" t="str">
        <f t="shared" si="2"/>
        <v>ชุมพร|รย.3-ตู้บรรทุก</v>
      </c>
      <c r="D157" s="5"/>
    </row>
    <row r="158" spans="1:4" x14ac:dyDescent="0.3">
      <c r="A158" s="4" t="s">
        <v>56</v>
      </c>
      <c r="B158" s="4" t="s">
        <v>19</v>
      </c>
      <c r="C158" s="4" t="str">
        <f t="shared" si="2"/>
        <v>เชียงราย|รย.12-น้อยกว่า 300cc</v>
      </c>
      <c r="D158" s="5"/>
    </row>
    <row r="159" spans="1:4" x14ac:dyDescent="0.3">
      <c r="A159" s="4" t="s">
        <v>56</v>
      </c>
      <c r="B159" s="4" t="s">
        <v>21</v>
      </c>
      <c r="C159" s="4" t="str">
        <f t="shared" si="2"/>
        <v>เชียงราย|รย.12-300-799cc</v>
      </c>
      <c r="D159" s="5"/>
    </row>
    <row r="160" spans="1:4" x14ac:dyDescent="0.3">
      <c r="A160" s="4" t="s">
        <v>56</v>
      </c>
      <c r="B160" s="4" t="s">
        <v>22</v>
      </c>
      <c r="C160" s="4" t="str">
        <f t="shared" si="2"/>
        <v>เชียงราย|รย.12-800-999cc</v>
      </c>
      <c r="D160" s="5"/>
    </row>
    <row r="161" spans="1:4" x14ac:dyDescent="0.3">
      <c r="A161" s="4" t="s">
        <v>56</v>
      </c>
      <c r="B161" s="4" t="s">
        <v>23</v>
      </c>
      <c r="C161" s="4" t="str">
        <f t="shared" si="2"/>
        <v>เชียงราย|รย.12-1000cc ขึ้นไป</v>
      </c>
      <c r="D161" s="5"/>
    </row>
    <row r="162" spans="1:4" x14ac:dyDescent="0.3">
      <c r="A162" s="4" t="s">
        <v>56</v>
      </c>
      <c r="B162" s="4" t="s">
        <v>24</v>
      </c>
      <c r="C162" s="4" t="str">
        <f t="shared" si="2"/>
        <v>เชียงราย|รย.1-เก๋ง 2 ตอน</v>
      </c>
      <c r="D162" s="5"/>
    </row>
    <row r="163" spans="1:4" x14ac:dyDescent="0.3">
      <c r="A163" s="4" t="s">
        <v>56</v>
      </c>
      <c r="B163" s="4" t="s">
        <v>26</v>
      </c>
      <c r="C163" s="4" t="str">
        <f t="shared" si="2"/>
        <v>เชียงราย|รย.1-นั่ง 2 ตอน</v>
      </c>
      <c r="D163" s="5"/>
    </row>
    <row r="164" spans="1:4" x14ac:dyDescent="0.3">
      <c r="A164" s="4" t="s">
        <v>56</v>
      </c>
      <c r="B164" s="4" t="s">
        <v>27</v>
      </c>
      <c r="C164" s="4" t="str">
        <f t="shared" si="2"/>
        <v>เชียงราย|รย.1-นั่ง 3 ตอน</v>
      </c>
      <c r="D164" s="5"/>
    </row>
    <row r="165" spans="1:4" x14ac:dyDescent="0.3">
      <c r="A165" s="4" t="s">
        <v>56</v>
      </c>
      <c r="B165" s="4" t="s">
        <v>28</v>
      </c>
      <c r="C165" s="4" t="str">
        <f t="shared" si="2"/>
        <v>เชียงราย|รย.2-นั่ง 2 แถว</v>
      </c>
      <c r="D165" s="5"/>
    </row>
    <row r="166" spans="1:4" x14ac:dyDescent="0.3">
      <c r="A166" s="4" t="s">
        <v>56</v>
      </c>
      <c r="B166" s="4" t="s">
        <v>29</v>
      </c>
      <c r="C166" s="4" t="str">
        <f t="shared" si="2"/>
        <v>เชียงราย|รย.2-นั่ง 4 ตอน</v>
      </c>
      <c r="D166" s="5"/>
    </row>
    <row r="167" spans="1:4" x14ac:dyDescent="0.3">
      <c r="A167" s="4" t="s">
        <v>56</v>
      </c>
      <c r="B167" s="4" t="s">
        <v>30</v>
      </c>
      <c r="C167" s="4" t="str">
        <f t="shared" si="2"/>
        <v>เชียงราย|รย.3-กระบะบรรทุก</v>
      </c>
      <c r="D167" s="5"/>
    </row>
    <row r="168" spans="1:4" x14ac:dyDescent="0.3">
      <c r="A168" s="4" t="s">
        <v>56</v>
      </c>
      <c r="B168" s="4" t="s">
        <v>31</v>
      </c>
      <c r="C168" s="4" t="str">
        <f t="shared" si="2"/>
        <v>เชียงราย|รย.3-กระบะบรรทุกมีหลังคา</v>
      </c>
      <c r="D168" s="5"/>
    </row>
    <row r="169" spans="1:4" x14ac:dyDescent="0.3">
      <c r="A169" s="4" t="s">
        <v>56</v>
      </c>
      <c r="B169" s="4" t="s">
        <v>32</v>
      </c>
      <c r="C169" s="4" t="str">
        <f t="shared" si="2"/>
        <v>เชียงราย|รย.3-กระบะบรรทุกมีหลังคาแหนบ</v>
      </c>
      <c r="D169" s="5"/>
    </row>
    <row r="170" spans="1:4" x14ac:dyDescent="0.3">
      <c r="A170" s="4" t="s">
        <v>56</v>
      </c>
      <c r="B170" s="4" t="s">
        <v>33</v>
      </c>
      <c r="C170" s="4" t="str">
        <f t="shared" si="2"/>
        <v>เชียงราย|รย.3-ตู้บรรทุก</v>
      </c>
      <c r="D170" s="5"/>
    </row>
    <row r="171" spans="1:4" x14ac:dyDescent="0.3">
      <c r="A171" s="4" t="s">
        <v>57</v>
      </c>
      <c r="B171" s="4" t="s">
        <v>19</v>
      </c>
      <c r="C171" s="4" t="str">
        <f t="shared" si="2"/>
        <v>เชียงใหม่|รย.12-น้อยกว่า 300cc</v>
      </c>
      <c r="D171" s="5"/>
    </row>
    <row r="172" spans="1:4" x14ac:dyDescent="0.3">
      <c r="A172" s="4" t="s">
        <v>57</v>
      </c>
      <c r="B172" s="4" t="s">
        <v>21</v>
      </c>
      <c r="C172" s="4" t="str">
        <f t="shared" si="2"/>
        <v>เชียงใหม่|รย.12-300-799cc</v>
      </c>
      <c r="D172" s="5"/>
    </row>
    <row r="173" spans="1:4" x14ac:dyDescent="0.3">
      <c r="A173" s="4" t="s">
        <v>57</v>
      </c>
      <c r="B173" s="4" t="s">
        <v>22</v>
      </c>
      <c r="C173" s="4" t="str">
        <f t="shared" si="2"/>
        <v>เชียงใหม่|รย.12-800-999cc</v>
      </c>
      <c r="D173" s="5"/>
    </row>
    <row r="174" spans="1:4" x14ac:dyDescent="0.3">
      <c r="A174" s="4" t="s">
        <v>57</v>
      </c>
      <c r="B174" s="4" t="s">
        <v>23</v>
      </c>
      <c r="C174" s="4" t="str">
        <f t="shared" si="2"/>
        <v>เชียงใหม่|รย.12-1000cc ขึ้นไป</v>
      </c>
      <c r="D174" s="5"/>
    </row>
    <row r="175" spans="1:4" x14ac:dyDescent="0.3">
      <c r="A175" s="4" t="s">
        <v>57</v>
      </c>
      <c r="B175" s="4" t="s">
        <v>24</v>
      </c>
      <c r="C175" s="4" t="str">
        <f t="shared" si="2"/>
        <v>เชียงใหม่|รย.1-เก๋ง 2 ตอน</v>
      </c>
      <c r="D175" s="5"/>
    </row>
    <row r="176" spans="1:4" x14ac:dyDescent="0.3">
      <c r="A176" s="4" t="s">
        <v>57</v>
      </c>
      <c r="B176" s="4" t="s">
        <v>26</v>
      </c>
      <c r="C176" s="4" t="str">
        <f t="shared" si="2"/>
        <v>เชียงใหม่|รย.1-นั่ง 2 ตอน</v>
      </c>
      <c r="D176" s="5"/>
    </row>
    <row r="177" spans="1:4" x14ac:dyDescent="0.3">
      <c r="A177" s="4" t="s">
        <v>57</v>
      </c>
      <c r="B177" s="4" t="s">
        <v>27</v>
      </c>
      <c r="C177" s="4" t="str">
        <f t="shared" si="2"/>
        <v>เชียงใหม่|รย.1-นั่ง 3 ตอน</v>
      </c>
      <c r="D177" s="5"/>
    </row>
    <row r="178" spans="1:4" x14ac:dyDescent="0.3">
      <c r="A178" s="4" t="s">
        <v>57</v>
      </c>
      <c r="B178" s="4" t="s">
        <v>28</v>
      </c>
      <c r="C178" s="4" t="str">
        <f t="shared" si="2"/>
        <v>เชียงใหม่|รย.2-นั่ง 2 แถว</v>
      </c>
      <c r="D178" s="5"/>
    </row>
    <row r="179" spans="1:4" x14ac:dyDescent="0.3">
      <c r="A179" s="4" t="s">
        <v>57</v>
      </c>
      <c r="B179" s="4" t="s">
        <v>29</v>
      </c>
      <c r="C179" s="4" t="str">
        <f t="shared" si="2"/>
        <v>เชียงใหม่|รย.2-นั่ง 4 ตอน</v>
      </c>
      <c r="D179" s="5"/>
    </row>
    <row r="180" spans="1:4" x14ac:dyDescent="0.3">
      <c r="A180" s="4" t="s">
        <v>57</v>
      </c>
      <c r="B180" s="4" t="s">
        <v>30</v>
      </c>
      <c r="C180" s="4" t="str">
        <f t="shared" si="2"/>
        <v>เชียงใหม่|รย.3-กระบะบรรทุก</v>
      </c>
      <c r="D180" s="5"/>
    </row>
    <row r="181" spans="1:4" x14ac:dyDescent="0.3">
      <c r="A181" s="4" t="s">
        <v>57</v>
      </c>
      <c r="B181" s="4" t="s">
        <v>31</v>
      </c>
      <c r="C181" s="4" t="str">
        <f t="shared" si="2"/>
        <v>เชียงใหม่|รย.3-กระบะบรรทุกมีหลังคา</v>
      </c>
      <c r="D181" s="5"/>
    </row>
    <row r="182" spans="1:4" x14ac:dyDescent="0.3">
      <c r="A182" s="4" t="s">
        <v>57</v>
      </c>
      <c r="B182" s="4" t="s">
        <v>32</v>
      </c>
      <c r="C182" s="4" t="str">
        <f t="shared" si="2"/>
        <v>เชียงใหม่|รย.3-กระบะบรรทุกมีหลังคาแหนบ</v>
      </c>
      <c r="D182" s="5"/>
    </row>
    <row r="183" spans="1:4" x14ac:dyDescent="0.3">
      <c r="A183" s="4" t="s">
        <v>57</v>
      </c>
      <c r="B183" s="4" t="s">
        <v>33</v>
      </c>
      <c r="C183" s="4" t="str">
        <f t="shared" si="2"/>
        <v>เชียงใหม่|รย.3-ตู้บรรทุก</v>
      </c>
      <c r="D183" s="5"/>
    </row>
    <row r="184" spans="1:4" x14ac:dyDescent="0.3">
      <c r="A184" s="4" t="s">
        <v>58</v>
      </c>
      <c r="B184" s="4" t="s">
        <v>19</v>
      </c>
      <c r="C184" s="4" t="str">
        <f t="shared" si="2"/>
        <v>ตรัง|รย.12-น้อยกว่า 300cc</v>
      </c>
      <c r="D184" s="5"/>
    </row>
    <row r="185" spans="1:4" x14ac:dyDescent="0.3">
      <c r="A185" s="4" t="s">
        <v>58</v>
      </c>
      <c r="B185" s="4" t="s">
        <v>21</v>
      </c>
      <c r="C185" s="4" t="str">
        <f t="shared" si="2"/>
        <v>ตรัง|รย.12-300-799cc</v>
      </c>
      <c r="D185" s="5"/>
    </row>
    <row r="186" spans="1:4" x14ac:dyDescent="0.3">
      <c r="A186" s="4" t="s">
        <v>58</v>
      </c>
      <c r="B186" s="4" t="s">
        <v>22</v>
      </c>
      <c r="C186" s="4" t="str">
        <f t="shared" si="2"/>
        <v>ตรัง|รย.12-800-999cc</v>
      </c>
      <c r="D186" s="5"/>
    </row>
    <row r="187" spans="1:4" x14ac:dyDescent="0.3">
      <c r="A187" s="4" t="s">
        <v>58</v>
      </c>
      <c r="B187" s="4" t="s">
        <v>23</v>
      </c>
      <c r="C187" s="4" t="str">
        <f t="shared" si="2"/>
        <v>ตรัง|รย.12-1000cc ขึ้นไป</v>
      </c>
      <c r="D187" s="5"/>
    </row>
    <row r="188" spans="1:4" x14ac:dyDescent="0.3">
      <c r="A188" s="4" t="s">
        <v>58</v>
      </c>
      <c r="B188" s="4" t="s">
        <v>24</v>
      </c>
      <c r="C188" s="4" t="str">
        <f t="shared" si="2"/>
        <v>ตรัง|รย.1-เก๋ง 2 ตอน</v>
      </c>
      <c r="D188" s="5"/>
    </row>
    <row r="189" spans="1:4" x14ac:dyDescent="0.3">
      <c r="A189" s="4" t="s">
        <v>58</v>
      </c>
      <c r="B189" s="4" t="s">
        <v>26</v>
      </c>
      <c r="C189" s="4" t="str">
        <f t="shared" si="2"/>
        <v>ตรัง|รย.1-นั่ง 2 ตอน</v>
      </c>
      <c r="D189" s="5"/>
    </row>
    <row r="190" spans="1:4" x14ac:dyDescent="0.3">
      <c r="A190" s="4" t="s">
        <v>58</v>
      </c>
      <c r="B190" s="4" t="s">
        <v>27</v>
      </c>
      <c r="C190" s="4" t="str">
        <f t="shared" si="2"/>
        <v>ตรัง|รย.1-นั่ง 3 ตอน</v>
      </c>
      <c r="D190" s="5"/>
    </row>
    <row r="191" spans="1:4" x14ac:dyDescent="0.3">
      <c r="A191" s="4" t="s">
        <v>58</v>
      </c>
      <c r="B191" s="4" t="s">
        <v>28</v>
      </c>
      <c r="C191" s="4" t="str">
        <f t="shared" si="2"/>
        <v>ตรัง|รย.2-นั่ง 2 แถว</v>
      </c>
      <c r="D191" s="5"/>
    </row>
    <row r="192" spans="1:4" x14ac:dyDescent="0.3">
      <c r="A192" s="4" t="s">
        <v>58</v>
      </c>
      <c r="B192" s="4" t="s">
        <v>29</v>
      </c>
      <c r="C192" s="4" t="str">
        <f t="shared" si="2"/>
        <v>ตรัง|รย.2-นั่ง 4 ตอน</v>
      </c>
      <c r="D192" s="5"/>
    </row>
    <row r="193" spans="1:4" x14ac:dyDescent="0.3">
      <c r="A193" s="4" t="s">
        <v>58</v>
      </c>
      <c r="B193" s="4" t="s">
        <v>30</v>
      </c>
      <c r="C193" s="4" t="str">
        <f t="shared" si="2"/>
        <v>ตรัง|รย.3-กระบะบรรทุก</v>
      </c>
      <c r="D193" s="5"/>
    </row>
    <row r="194" spans="1:4" x14ac:dyDescent="0.3">
      <c r="A194" s="4" t="s">
        <v>58</v>
      </c>
      <c r="B194" s="4" t="s">
        <v>31</v>
      </c>
      <c r="C194" s="4" t="str">
        <f t="shared" ref="C194:C257" si="3">A194&amp;"|"&amp;B194</f>
        <v>ตรัง|รย.3-กระบะบรรทุกมีหลังคา</v>
      </c>
      <c r="D194" s="5"/>
    </row>
    <row r="195" spans="1:4" x14ac:dyDescent="0.3">
      <c r="A195" s="4" t="s">
        <v>58</v>
      </c>
      <c r="B195" s="4" t="s">
        <v>32</v>
      </c>
      <c r="C195" s="4" t="str">
        <f t="shared" si="3"/>
        <v>ตรัง|รย.3-กระบะบรรทุกมีหลังคาแหนบ</v>
      </c>
      <c r="D195" s="5"/>
    </row>
    <row r="196" spans="1:4" x14ac:dyDescent="0.3">
      <c r="A196" s="4" t="s">
        <v>58</v>
      </c>
      <c r="B196" s="4" t="s">
        <v>33</v>
      </c>
      <c r="C196" s="4" t="str">
        <f t="shared" si="3"/>
        <v>ตรัง|รย.3-ตู้บรรทุก</v>
      </c>
      <c r="D196" s="5"/>
    </row>
    <row r="197" spans="1:4" x14ac:dyDescent="0.3">
      <c r="A197" s="4" t="s">
        <v>59</v>
      </c>
      <c r="B197" s="4" t="s">
        <v>19</v>
      </c>
      <c r="C197" s="4" t="str">
        <f t="shared" si="3"/>
        <v>ตราด|รย.12-น้อยกว่า 300cc</v>
      </c>
      <c r="D197" s="5"/>
    </row>
    <row r="198" spans="1:4" x14ac:dyDescent="0.3">
      <c r="A198" s="4" t="s">
        <v>59</v>
      </c>
      <c r="B198" s="4" t="s">
        <v>21</v>
      </c>
      <c r="C198" s="4" t="str">
        <f t="shared" si="3"/>
        <v>ตราด|รย.12-300-799cc</v>
      </c>
      <c r="D198" s="5"/>
    </row>
    <row r="199" spans="1:4" x14ac:dyDescent="0.3">
      <c r="A199" s="4" t="s">
        <v>59</v>
      </c>
      <c r="B199" s="4" t="s">
        <v>22</v>
      </c>
      <c r="C199" s="4" t="str">
        <f t="shared" si="3"/>
        <v>ตราด|รย.12-800-999cc</v>
      </c>
      <c r="D199" s="5"/>
    </row>
    <row r="200" spans="1:4" x14ac:dyDescent="0.3">
      <c r="A200" s="4" t="s">
        <v>59</v>
      </c>
      <c r="B200" s="4" t="s">
        <v>23</v>
      </c>
      <c r="C200" s="4" t="str">
        <f t="shared" si="3"/>
        <v>ตราด|รย.12-1000cc ขึ้นไป</v>
      </c>
      <c r="D200" s="5"/>
    </row>
    <row r="201" spans="1:4" x14ac:dyDescent="0.3">
      <c r="A201" s="4" t="s">
        <v>59</v>
      </c>
      <c r="B201" s="4" t="s">
        <v>24</v>
      </c>
      <c r="C201" s="4" t="str">
        <f t="shared" si="3"/>
        <v>ตราด|รย.1-เก๋ง 2 ตอน</v>
      </c>
      <c r="D201" s="5"/>
    </row>
    <row r="202" spans="1:4" x14ac:dyDescent="0.3">
      <c r="A202" s="4" t="s">
        <v>59</v>
      </c>
      <c r="B202" s="4" t="s">
        <v>26</v>
      </c>
      <c r="C202" s="4" t="str">
        <f t="shared" si="3"/>
        <v>ตราด|รย.1-นั่ง 2 ตอน</v>
      </c>
      <c r="D202" s="5"/>
    </row>
    <row r="203" spans="1:4" x14ac:dyDescent="0.3">
      <c r="A203" s="4" t="s">
        <v>59</v>
      </c>
      <c r="B203" s="4" t="s">
        <v>27</v>
      </c>
      <c r="C203" s="4" t="str">
        <f t="shared" si="3"/>
        <v>ตราด|รย.1-นั่ง 3 ตอน</v>
      </c>
      <c r="D203" s="5"/>
    </row>
    <row r="204" spans="1:4" x14ac:dyDescent="0.3">
      <c r="A204" s="4" t="s">
        <v>59</v>
      </c>
      <c r="B204" s="4" t="s">
        <v>28</v>
      </c>
      <c r="C204" s="4" t="str">
        <f t="shared" si="3"/>
        <v>ตราด|รย.2-นั่ง 2 แถว</v>
      </c>
      <c r="D204" s="5"/>
    </row>
    <row r="205" spans="1:4" x14ac:dyDescent="0.3">
      <c r="A205" s="4" t="s">
        <v>59</v>
      </c>
      <c r="B205" s="4" t="s">
        <v>29</v>
      </c>
      <c r="C205" s="4" t="str">
        <f t="shared" si="3"/>
        <v>ตราด|รย.2-นั่ง 4 ตอน</v>
      </c>
      <c r="D205" s="5"/>
    </row>
    <row r="206" spans="1:4" x14ac:dyDescent="0.3">
      <c r="A206" s="4" t="s">
        <v>59</v>
      </c>
      <c r="B206" s="4" t="s">
        <v>30</v>
      </c>
      <c r="C206" s="4" t="str">
        <f t="shared" si="3"/>
        <v>ตราด|รย.3-กระบะบรรทุก</v>
      </c>
      <c r="D206" s="5"/>
    </row>
    <row r="207" spans="1:4" x14ac:dyDescent="0.3">
      <c r="A207" s="4" t="s">
        <v>59</v>
      </c>
      <c r="B207" s="4" t="s">
        <v>31</v>
      </c>
      <c r="C207" s="4" t="str">
        <f t="shared" si="3"/>
        <v>ตราด|รย.3-กระบะบรรทุกมีหลังคา</v>
      </c>
      <c r="D207" s="5"/>
    </row>
    <row r="208" spans="1:4" x14ac:dyDescent="0.3">
      <c r="A208" s="4" t="s">
        <v>59</v>
      </c>
      <c r="B208" s="4" t="s">
        <v>32</v>
      </c>
      <c r="C208" s="4" t="str">
        <f t="shared" si="3"/>
        <v>ตราด|รย.3-กระบะบรรทุกมีหลังคาแหนบ</v>
      </c>
      <c r="D208" s="5"/>
    </row>
    <row r="209" spans="1:4" x14ac:dyDescent="0.3">
      <c r="A209" s="4" t="s">
        <v>59</v>
      </c>
      <c r="B209" s="4" t="s">
        <v>33</v>
      </c>
      <c r="C209" s="4" t="str">
        <f t="shared" si="3"/>
        <v>ตราด|รย.3-ตู้บรรทุก</v>
      </c>
      <c r="D209" s="5"/>
    </row>
    <row r="210" spans="1:4" x14ac:dyDescent="0.3">
      <c r="A210" s="4" t="s">
        <v>60</v>
      </c>
      <c r="B210" s="4" t="s">
        <v>19</v>
      </c>
      <c r="C210" s="4" t="str">
        <f t="shared" si="3"/>
        <v>ตาก|รย.12-น้อยกว่า 300cc</v>
      </c>
      <c r="D210" s="5"/>
    </row>
    <row r="211" spans="1:4" x14ac:dyDescent="0.3">
      <c r="A211" s="4" t="s">
        <v>60</v>
      </c>
      <c r="B211" s="4" t="s">
        <v>21</v>
      </c>
      <c r="C211" s="4" t="str">
        <f t="shared" si="3"/>
        <v>ตาก|รย.12-300-799cc</v>
      </c>
      <c r="D211" s="5"/>
    </row>
    <row r="212" spans="1:4" x14ac:dyDescent="0.3">
      <c r="A212" s="4" t="s">
        <v>60</v>
      </c>
      <c r="B212" s="4" t="s">
        <v>22</v>
      </c>
      <c r="C212" s="4" t="str">
        <f t="shared" si="3"/>
        <v>ตาก|รย.12-800-999cc</v>
      </c>
      <c r="D212" s="5"/>
    </row>
    <row r="213" spans="1:4" x14ac:dyDescent="0.3">
      <c r="A213" s="4" t="s">
        <v>60</v>
      </c>
      <c r="B213" s="4" t="s">
        <v>23</v>
      </c>
      <c r="C213" s="4" t="str">
        <f t="shared" si="3"/>
        <v>ตาก|รย.12-1000cc ขึ้นไป</v>
      </c>
      <c r="D213" s="5"/>
    </row>
    <row r="214" spans="1:4" x14ac:dyDescent="0.3">
      <c r="A214" s="4" t="s">
        <v>60</v>
      </c>
      <c r="B214" s="4" t="s">
        <v>24</v>
      </c>
      <c r="C214" s="4" t="str">
        <f t="shared" si="3"/>
        <v>ตาก|รย.1-เก๋ง 2 ตอน</v>
      </c>
      <c r="D214" s="5"/>
    </row>
    <row r="215" spans="1:4" x14ac:dyDescent="0.3">
      <c r="A215" s="4" t="s">
        <v>60</v>
      </c>
      <c r="B215" s="4" t="s">
        <v>26</v>
      </c>
      <c r="C215" s="4" t="str">
        <f t="shared" si="3"/>
        <v>ตาก|รย.1-นั่ง 2 ตอน</v>
      </c>
      <c r="D215" s="5"/>
    </row>
    <row r="216" spans="1:4" x14ac:dyDescent="0.3">
      <c r="A216" s="4" t="s">
        <v>60</v>
      </c>
      <c r="B216" s="4" t="s">
        <v>27</v>
      </c>
      <c r="C216" s="4" t="str">
        <f t="shared" si="3"/>
        <v>ตาก|รย.1-นั่ง 3 ตอน</v>
      </c>
      <c r="D216" s="5"/>
    </row>
    <row r="217" spans="1:4" x14ac:dyDescent="0.3">
      <c r="A217" s="4" t="s">
        <v>60</v>
      </c>
      <c r="B217" s="4" t="s">
        <v>28</v>
      </c>
      <c r="C217" s="4" t="str">
        <f t="shared" si="3"/>
        <v>ตาก|รย.2-นั่ง 2 แถว</v>
      </c>
      <c r="D217" s="5"/>
    </row>
    <row r="218" spans="1:4" x14ac:dyDescent="0.3">
      <c r="A218" s="4" t="s">
        <v>60</v>
      </c>
      <c r="B218" s="4" t="s">
        <v>29</v>
      </c>
      <c r="C218" s="4" t="str">
        <f t="shared" si="3"/>
        <v>ตาก|รย.2-นั่ง 4 ตอน</v>
      </c>
      <c r="D218" s="5"/>
    </row>
    <row r="219" spans="1:4" x14ac:dyDescent="0.3">
      <c r="A219" s="4" t="s">
        <v>60</v>
      </c>
      <c r="B219" s="4" t="s">
        <v>30</v>
      </c>
      <c r="C219" s="4" t="str">
        <f t="shared" si="3"/>
        <v>ตาก|รย.3-กระบะบรรทุก</v>
      </c>
      <c r="D219" s="5"/>
    </row>
    <row r="220" spans="1:4" x14ac:dyDescent="0.3">
      <c r="A220" s="4" t="s">
        <v>60</v>
      </c>
      <c r="B220" s="4" t="s">
        <v>31</v>
      </c>
      <c r="C220" s="4" t="str">
        <f t="shared" si="3"/>
        <v>ตาก|รย.3-กระบะบรรทุกมีหลังคา</v>
      </c>
      <c r="D220" s="5"/>
    </row>
    <row r="221" spans="1:4" x14ac:dyDescent="0.3">
      <c r="A221" s="4" t="s">
        <v>60</v>
      </c>
      <c r="B221" s="4" t="s">
        <v>32</v>
      </c>
      <c r="C221" s="4" t="str">
        <f t="shared" si="3"/>
        <v>ตาก|รย.3-กระบะบรรทุกมีหลังคาแหนบ</v>
      </c>
      <c r="D221" s="5"/>
    </row>
    <row r="222" spans="1:4" x14ac:dyDescent="0.3">
      <c r="A222" s="4" t="s">
        <v>60</v>
      </c>
      <c r="B222" s="4" t="s">
        <v>33</v>
      </c>
      <c r="C222" s="4" t="str">
        <f t="shared" si="3"/>
        <v>ตาก|รย.3-ตู้บรรทุก</v>
      </c>
      <c r="D222" s="5"/>
    </row>
    <row r="223" spans="1:4" x14ac:dyDescent="0.3">
      <c r="A223" s="4" t="s">
        <v>61</v>
      </c>
      <c r="B223" s="4" t="s">
        <v>19</v>
      </c>
      <c r="C223" s="4" t="str">
        <f t="shared" si="3"/>
        <v>นครนายก|รย.12-น้อยกว่า 300cc</v>
      </c>
      <c r="D223" s="5"/>
    </row>
    <row r="224" spans="1:4" x14ac:dyDescent="0.3">
      <c r="A224" s="4" t="s">
        <v>61</v>
      </c>
      <c r="B224" s="4" t="s">
        <v>21</v>
      </c>
      <c r="C224" s="4" t="str">
        <f t="shared" si="3"/>
        <v>นครนายก|รย.12-300-799cc</v>
      </c>
      <c r="D224" s="5"/>
    </row>
    <row r="225" spans="1:4" x14ac:dyDescent="0.3">
      <c r="A225" s="4" t="s">
        <v>61</v>
      </c>
      <c r="B225" s="4" t="s">
        <v>22</v>
      </c>
      <c r="C225" s="4" t="str">
        <f t="shared" si="3"/>
        <v>นครนายก|รย.12-800-999cc</v>
      </c>
      <c r="D225" s="5"/>
    </row>
    <row r="226" spans="1:4" x14ac:dyDescent="0.3">
      <c r="A226" s="4" t="s">
        <v>61</v>
      </c>
      <c r="B226" s="4" t="s">
        <v>23</v>
      </c>
      <c r="C226" s="4" t="str">
        <f t="shared" si="3"/>
        <v>นครนายก|รย.12-1000cc ขึ้นไป</v>
      </c>
      <c r="D226" s="5"/>
    </row>
    <row r="227" spans="1:4" x14ac:dyDescent="0.3">
      <c r="A227" s="4" t="s">
        <v>61</v>
      </c>
      <c r="B227" s="4" t="s">
        <v>24</v>
      </c>
      <c r="C227" s="4" t="str">
        <f t="shared" si="3"/>
        <v>นครนายก|รย.1-เก๋ง 2 ตอน</v>
      </c>
      <c r="D227" s="5"/>
    </row>
    <row r="228" spans="1:4" x14ac:dyDescent="0.3">
      <c r="A228" s="4" t="s">
        <v>61</v>
      </c>
      <c r="B228" s="4" t="s">
        <v>26</v>
      </c>
      <c r="C228" s="4" t="str">
        <f t="shared" si="3"/>
        <v>นครนายก|รย.1-นั่ง 2 ตอน</v>
      </c>
      <c r="D228" s="5"/>
    </row>
    <row r="229" spans="1:4" x14ac:dyDescent="0.3">
      <c r="A229" s="4" t="s">
        <v>61</v>
      </c>
      <c r="B229" s="4" t="s">
        <v>27</v>
      </c>
      <c r="C229" s="4" t="str">
        <f t="shared" si="3"/>
        <v>นครนายก|รย.1-นั่ง 3 ตอน</v>
      </c>
      <c r="D229" s="5"/>
    </row>
    <row r="230" spans="1:4" x14ac:dyDescent="0.3">
      <c r="A230" s="4" t="s">
        <v>61</v>
      </c>
      <c r="B230" s="4" t="s">
        <v>28</v>
      </c>
      <c r="C230" s="4" t="str">
        <f t="shared" si="3"/>
        <v>นครนายก|รย.2-นั่ง 2 แถว</v>
      </c>
      <c r="D230" s="5"/>
    </row>
    <row r="231" spans="1:4" x14ac:dyDescent="0.3">
      <c r="A231" s="4" t="s">
        <v>61</v>
      </c>
      <c r="B231" s="4" t="s">
        <v>29</v>
      </c>
      <c r="C231" s="4" t="str">
        <f t="shared" si="3"/>
        <v>นครนายก|รย.2-นั่ง 4 ตอน</v>
      </c>
      <c r="D231" s="5"/>
    </row>
    <row r="232" spans="1:4" x14ac:dyDescent="0.3">
      <c r="A232" s="4" t="s">
        <v>61</v>
      </c>
      <c r="B232" s="4" t="s">
        <v>30</v>
      </c>
      <c r="C232" s="4" t="str">
        <f t="shared" si="3"/>
        <v>นครนายก|รย.3-กระบะบรรทุก</v>
      </c>
      <c r="D232" s="5"/>
    </row>
    <row r="233" spans="1:4" x14ac:dyDescent="0.3">
      <c r="A233" s="4" t="s">
        <v>61</v>
      </c>
      <c r="B233" s="4" t="s">
        <v>31</v>
      </c>
      <c r="C233" s="4" t="str">
        <f t="shared" si="3"/>
        <v>นครนายก|รย.3-กระบะบรรทุกมีหลังคา</v>
      </c>
      <c r="D233" s="5"/>
    </row>
    <row r="234" spans="1:4" x14ac:dyDescent="0.3">
      <c r="A234" s="4" t="s">
        <v>61</v>
      </c>
      <c r="B234" s="4" t="s">
        <v>32</v>
      </c>
      <c r="C234" s="4" t="str">
        <f t="shared" si="3"/>
        <v>นครนายก|รย.3-กระบะบรรทุกมีหลังคาแหนบ</v>
      </c>
      <c r="D234" s="5"/>
    </row>
    <row r="235" spans="1:4" x14ac:dyDescent="0.3">
      <c r="A235" s="4" t="s">
        <v>61</v>
      </c>
      <c r="B235" s="4" t="s">
        <v>33</v>
      </c>
      <c r="C235" s="4" t="str">
        <f t="shared" si="3"/>
        <v>นครนายก|รย.3-ตู้บรรทุก</v>
      </c>
      <c r="D235" s="5"/>
    </row>
    <row r="236" spans="1:4" x14ac:dyDescent="0.3">
      <c r="A236" s="4" t="s">
        <v>62</v>
      </c>
      <c r="B236" s="4" t="s">
        <v>19</v>
      </c>
      <c r="C236" s="4" t="str">
        <f t="shared" si="3"/>
        <v>นครปฐม|รย.12-น้อยกว่า 300cc</v>
      </c>
      <c r="D236" s="5"/>
    </row>
    <row r="237" spans="1:4" x14ac:dyDescent="0.3">
      <c r="A237" s="4" t="s">
        <v>62</v>
      </c>
      <c r="B237" s="4" t="s">
        <v>21</v>
      </c>
      <c r="C237" s="4" t="str">
        <f t="shared" si="3"/>
        <v>นครปฐม|รย.12-300-799cc</v>
      </c>
      <c r="D237" s="5"/>
    </row>
    <row r="238" spans="1:4" x14ac:dyDescent="0.3">
      <c r="A238" s="4" t="s">
        <v>62</v>
      </c>
      <c r="B238" s="4" t="s">
        <v>22</v>
      </c>
      <c r="C238" s="4" t="str">
        <f t="shared" si="3"/>
        <v>นครปฐม|รย.12-800-999cc</v>
      </c>
      <c r="D238" s="5"/>
    </row>
    <row r="239" spans="1:4" x14ac:dyDescent="0.3">
      <c r="A239" s="4" t="s">
        <v>62</v>
      </c>
      <c r="B239" s="4" t="s">
        <v>23</v>
      </c>
      <c r="C239" s="4" t="str">
        <f t="shared" si="3"/>
        <v>นครปฐม|รย.12-1000cc ขึ้นไป</v>
      </c>
      <c r="D239" s="5"/>
    </row>
    <row r="240" spans="1:4" x14ac:dyDescent="0.3">
      <c r="A240" s="4" t="s">
        <v>62</v>
      </c>
      <c r="B240" s="4" t="s">
        <v>24</v>
      </c>
      <c r="C240" s="4" t="str">
        <f t="shared" si="3"/>
        <v>นครปฐม|รย.1-เก๋ง 2 ตอน</v>
      </c>
      <c r="D240" s="5"/>
    </row>
    <row r="241" spans="1:4" x14ac:dyDescent="0.3">
      <c r="A241" s="4" t="s">
        <v>62</v>
      </c>
      <c r="B241" s="4" t="s">
        <v>26</v>
      </c>
      <c r="C241" s="4" t="str">
        <f t="shared" si="3"/>
        <v>นครปฐม|รย.1-นั่ง 2 ตอน</v>
      </c>
      <c r="D241" s="5"/>
    </row>
    <row r="242" spans="1:4" x14ac:dyDescent="0.3">
      <c r="A242" s="4" t="s">
        <v>62</v>
      </c>
      <c r="B242" s="4" t="s">
        <v>27</v>
      </c>
      <c r="C242" s="4" t="str">
        <f t="shared" si="3"/>
        <v>นครปฐม|รย.1-นั่ง 3 ตอน</v>
      </c>
      <c r="D242" s="5"/>
    </row>
    <row r="243" spans="1:4" x14ac:dyDescent="0.3">
      <c r="A243" s="4" t="s">
        <v>62</v>
      </c>
      <c r="B243" s="4" t="s">
        <v>28</v>
      </c>
      <c r="C243" s="4" t="str">
        <f t="shared" si="3"/>
        <v>นครปฐม|รย.2-นั่ง 2 แถว</v>
      </c>
      <c r="D243" s="5"/>
    </row>
    <row r="244" spans="1:4" x14ac:dyDescent="0.3">
      <c r="A244" s="4" t="s">
        <v>62</v>
      </c>
      <c r="B244" s="4" t="s">
        <v>29</v>
      </c>
      <c r="C244" s="4" t="str">
        <f t="shared" si="3"/>
        <v>นครปฐม|รย.2-นั่ง 4 ตอน</v>
      </c>
      <c r="D244" s="5"/>
    </row>
    <row r="245" spans="1:4" x14ac:dyDescent="0.3">
      <c r="A245" s="4" t="s">
        <v>62</v>
      </c>
      <c r="B245" s="4" t="s">
        <v>30</v>
      </c>
      <c r="C245" s="4" t="str">
        <f t="shared" si="3"/>
        <v>นครปฐม|รย.3-กระบะบรรทุก</v>
      </c>
      <c r="D245" s="5"/>
    </row>
    <row r="246" spans="1:4" x14ac:dyDescent="0.3">
      <c r="A246" s="4" t="s">
        <v>62</v>
      </c>
      <c r="B246" s="4" t="s">
        <v>31</v>
      </c>
      <c r="C246" s="4" t="str">
        <f t="shared" si="3"/>
        <v>นครปฐม|รย.3-กระบะบรรทุกมีหลังคา</v>
      </c>
      <c r="D246" s="5"/>
    </row>
    <row r="247" spans="1:4" x14ac:dyDescent="0.3">
      <c r="A247" s="4" t="s">
        <v>62</v>
      </c>
      <c r="B247" s="4" t="s">
        <v>32</v>
      </c>
      <c r="C247" s="4" t="str">
        <f t="shared" si="3"/>
        <v>นครปฐม|รย.3-กระบะบรรทุกมีหลังคาแหนบ</v>
      </c>
      <c r="D247" s="5"/>
    </row>
    <row r="248" spans="1:4" x14ac:dyDescent="0.3">
      <c r="A248" s="4" t="s">
        <v>62</v>
      </c>
      <c r="B248" s="4" t="s">
        <v>33</v>
      </c>
      <c r="C248" s="4" t="str">
        <f t="shared" si="3"/>
        <v>นครปฐม|รย.3-ตู้บรรทุก</v>
      </c>
      <c r="D248" s="5"/>
    </row>
    <row r="249" spans="1:4" x14ac:dyDescent="0.3">
      <c r="A249" s="4" t="s">
        <v>63</v>
      </c>
      <c r="B249" s="4" t="s">
        <v>19</v>
      </c>
      <c r="C249" s="4" t="str">
        <f t="shared" si="3"/>
        <v>นครพนม|รย.12-น้อยกว่า 300cc</v>
      </c>
      <c r="D249" s="5"/>
    </row>
    <row r="250" spans="1:4" x14ac:dyDescent="0.3">
      <c r="A250" s="4" t="s">
        <v>63</v>
      </c>
      <c r="B250" s="4" t="s">
        <v>21</v>
      </c>
      <c r="C250" s="4" t="str">
        <f t="shared" si="3"/>
        <v>นครพนม|รย.12-300-799cc</v>
      </c>
      <c r="D250" s="5"/>
    </row>
    <row r="251" spans="1:4" x14ac:dyDescent="0.3">
      <c r="A251" s="4" t="s">
        <v>63</v>
      </c>
      <c r="B251" s="4" t="s">
        <v>22</v>
      </c>
      <c r="C251" s="4" t="str">
        <f t="shared" si="3"/>
        <v>นครพนม|รย.12-800-999cc</v>
      </c>
      <c r="D251" s="5"/>
    </row>
    <row r="252" spans="1:4" x14ac:dyDescent="0.3">
      <c r="A252" s="4" t="s">
        <v>63</v>
      </c>
      <c r="B252" s="4" t="s">
        <v>23</v>
      </c>
      <c r="C252" s="4" t="str">
        <f t="shared" si="3"/>
        <v>นครพนม|รย.12-1000cc ขึ้นไป</v>
      </c>
      <c r="D252" s="5"/>
    </row>
    <row r="253" spans="1:4" x14ac:dyDescent="0.3">
      <c r="A253" s="4" t="s">
        <v>63</v>
      </c>
      <c r="B253" s="4" t="s">
        <v>24</v>
      </c>
      <c r="C253" s="4" t="str">
        <f t="shared" si="3"/>
        <v>นครพนม|รย.1-เก๋ง 2 ตอน</v>
      </c>
      <c r="D253" s="5"/>
    </row>
    <row r="254" spans="1:4" x14ac:dyDescent="0.3">
      <c r="A254" s="4" t="s">
        <v>63</v>
      </c>
      <c r="B254" s="4" t="s">
        <v>26</v>
      </c>
      <c r="C254" s="4" t="str">
        <f t="shared" si="3"/>
        <v>นครพนม|รย.1-นั่ง 2 ตอน</v>
      </c>
      <c r="D254" s="5"/>
    </row>
    <row r="255" spans="1:4" x14ac:dyDescent="0.3">
      <c r="A255" s="4" t="s">
        <v>63</v>
      </c>
      <c r="B255" s="4" t="s">
        <v>27</v>
      </c>
      <c r="C255" s="4" t="str">
        <f t="shared" si="3"/>
        <v>นครพนม|รย.1-นั่ง 3 ตอน</v>
      </c>
      <c r="D255" s="5"/>
    </row>
    <row r="256" spans="1:4" x14ac:dyDescent="0.3">
      <c r="A256" s="4" t="s">
        <v>63</v>
      </c>
      <c r="B256" s="4" t="s">
        <v>28</v>
      </c>
      <c r="C256" s="4" t="str">
        <f t="shared" si="3"/>
        <v>นครพนม|รย.2-นั่ง 2 แถว</v>
      </c>
      <c r="D256" s="5"/>
    </row>
    <row r="257" spans="1:4" x14ac:dyDescent="0.3">
      <c r="A257" s="4" t="s">
        <v>63</v>
      </c>
      <c r="B257" s="4" t="s">
        <v>29</v>
      </c>
      <c r="C257" s="4" t="str">
        <f t="shared" si="3"/>
        <v>นครพนม|รย.2-นั่ง 4 ตอน</v>
      </c>
      <c r="D257" s="5"/>
    </row>
    <row r="258" spans="1:4" x14ac:dyDescent="0.3">
      <c r="A258" s="4" t="s">
        <v>63</v>
      </c>
      <c r="B258" s="4" t="s">
        <v>30</v>
      </c>
      <c r="C258" s="4" t="str">
        <f t="shared" ref="C258:C321" si="4">A258&amp;"|"&amp;B258</f>
        <v>นครพนม|รย.3-กระบะบรรทุก</v>
      </c>
      <c r="D258" s="5"/>
    </row>
    <row r="259" spans="1:4" x14ac:dyDescent="0.3">
      <c r="A259" s="4" t="s">
        <v>63</v>
      </c>
      <c r="B259" s="4" t="s">
        <v>31</v>
      </c>
      <c r="C259" s="4" t="str">
        <f t="shared" si="4"/>
        <v>นครพนม|รย.3-กระบะบรรทุกมีหลังคา</v>
      </c>
      <c r="D259" s="5"/>
    </row>
    <row r="260" spans="1:4" x14ac:dyDescent="0.3">
      <c r="A260" s="4" t="s">
        <v>63</v>
      </c>
      <c r="B260" s="4" t="s">
        <v>32</v>
      </c>
      <c r="C260" s="4" t="str">
        <f t="shared" si="4"/>
        <v>นครพนม|รย.3-กระบะบรรทุกมีหลังคาแหนบ</v>
      </c>
      <c r="D260" s="5"/>
    </row>
    <row r="261" spans="1:4" x14ac:dyDescent="0.3">
      <c r="A261" s="4" t="s">
        <v>63</v>
      </c>
      <c r="B261" s="4" t="s">
        <v>33</v>
      </c>
      <c r="C261" s="4" t="str">
        <f t="shared" si="4"/>
        <v>นครพนม|รย.3-ตู้บรรทุก</v>
      </c>
      <c r="D261" s="5"/>
    </row>
    <row r="262" spans="1:4" x14ac:dyDescent="0.3">
      <c r="A262" s="4" t="s">
        <v>64</v>
      </c>
      <c r="B262" s="4" t="s">
        <v>19</v>
      </c>
      <c r="C262" s="4" t="str">
        <f t="shared" si="4"/>
        <v>นครราชสีมา|รย.12-น้อยกว่า 300cc</v>
      </c>
      <c r="D262" s="5"/>
    </row>
    <row r="263" spans="1:4" x14ac:dyDescent="0.3">
      <c r="A263" s="4" t="s">
        <v>64</v>
      </c>
      <c r="B263" s="4" t="s">
        <v>21</v>
      </c>
      <c r="C263" s="4" t="str">
        <f t="shared" si="4"/>
        <v>นครราชสีมา|รย.12-300-799cc</v>
      </c>
      <c r="D263" s="5"/>
    </row>
    <row r="264" spans="1:4" x14ac:dyDescent="0.3">
      <c r="A264" s="4" t="s">
        <v>64</v>
      </c>
      <c r="B264" s="4" t="s">
        <v>22</v>
      </c>
      <c r="C264" s="4" t="str">
        <f t="shared" si="4"/>
        <v>นครราชสีมา|รย.12-800-999cc</v>
      </c>
      <c r="D264" s="5"/>
    </row>
    <row r="265" spans="1:4" x14ac:dyDescent="0.3">
      <c r="A265" s="4" t="s">
        <v>64</v>
      </c>
      <c r="B265" s="4" t="s">
        <v>23</v>
      </c>
      <c r="C265" s="4" t="str">
        <f t="shared" si="4"/>
        <v>นครราชสีมา|รย.12-1000cc ขึ้นไป</v>
      </c>
      <c r="D265" s="5"/>
    </row>
    <row r="266" spans="1:4" x14ac:dyDescent="0.3">
      <c r="A266" s="4" t="s">
        <v>64</v>
      </c>
      <c r="B266" s="4" t="s">
        <v>24</v>
      </c>
      <c r="C266" s="4" t="str">
        <f t="shared" si="4"/>
        <v>นครราชสีมา|รย.1-เก๋ง 2 ตอน</v>
      </c>
      <c r="D266" s="5"/>
    </row>
    <row r="267" spans="1:4" x14ac:dyDescent="0.3">
      <c r="A267" s="4" t="s">
        <v>64</v>
      </c>
      <c r="B267" s="4" t="s">
        <v>26</v>
      </c>
      <c r="C267" s="4" t="str">
        <f t="shared" si="4"/>
        <v>นครราชสีมา|รย.1-นั่ง 2 ตอน</v>
      </c>
      <c r="D267" s="5"/>
    </row>
    <row r="268" spans="1:4" x14ac:dyDescent="0.3">
      <c r="A268" s="4" t="s">
        <v>64</v>
      </c>
      <c r="B268" s="4" t="s">
        <v>27</v>
      </c>
      <c r="C268" s="4" t="str">
        <f t="shared" si="4"/>
        <v>นครราชสีมา|รย.1-นั่ง 3 ตอน</v>
      </c>
      <c r="D268" s="5"/>
    </row>
    <row r="269" spans="1:4" x14ac:dyDescent="0.3">
      <c r="A269" s="4" t="s">
        <v>64</v>
      </c>
      <c r="B269" s="4" t="s">
        <v>28</v>
      </c>
      <c r="C269" s="4" t="str">
        <f t="shared" si="4"/>
        <v>นครราชสีมา|รย.2-นั่ง 2 แถว</v>
      </c>
      <c r="D269" s="5"/>
    </row>
    <row r="270" spans="1:4" x14ac:dyDescent="0.3">
      <c r="A270" s="4" t="s">
        <v>64</v>
      </c>
      <c r="B270" s="4" t="s">
        <v>29</v>
      </c>
      <c r="C270" s="4" t="str">
        <f t="shared" si="4"/>
        <v>นครราชสีมา|รย.2-นั่ง 4 ตอน</v>
      </c>
      <c r="D270" s="5"/>
    </row>
    <row r="271" spans="1:4" x14ac:dyDescent="0.3">
      <c r="A271" s="4" t="s">
        <v>64</v>
      </c>
      <c r="B271" s="4" t="s">
        <v>30</v>
      </c>
      <c r="C271" s="4" t="str">
        <f t="shared" si="4"/>
        <v>นครราชสีมา|รย.3-กระบะบรรทุก</v>
      </c>
      <c r="D271" s="5"/>
    </row>
    <row r="272" spans="1:4" x14ac:dyDescent="0.3">
      <c r="A272" s="4" t="s">
        <v>64</v>
      </c>
      <c r="B272" s="4" t="s">
        <v>31</v>
      </c>
      <c r="C272" s="4" t="str">
        <f t="shared" si="4"/>
        <v>นครราชสีมา|รย.3-กระบะบรรทุกมีหลังคา</v>
      </c>
      <c r="D272" s="5"/>
    </row>
    <row r="273" spans="1:4" x14ac:dyDescent="0.3">
      <c r="A273" s="4" t="s">
        <v>64</v>
      </c>
      <c r="B273" s="4" t="s">
        <v>32</v>
      </c>
      <c r="C273" s="4" t="str">
        <f t="shared" si="4"/>
        <v>นครราชสีมา|รย.3-กระบะบรรทุกมีหลังคาแหนบ</v>
      </c>
      <c r="D273" s="5"/>
    </row>
    <row r="274" spans="1:4" x14ac:dyDescent="0.3">
      <c r="A274" s="4" t="s">
        <v>64</v>
      </c>
      <c r="B274" s="4" t="s">
        <v>33</v>
      </c>
      <c r="C274" s="4" t="str">
        <f t="shared" si="4"/>
        <v>นครราชสีมา|รย.3-ตู้บรรทุก</v>
      </c>
      <c r="D274" s="5"/>
    </row>
    <row r="275" spans="1:4" x14ac:dyDescent="0.3">
      <c r="A275" s="4" t="s">
        <v>65</v>
      </c>
      <c r="B275" s="4" t="s">
        <v>19</v>
      </c>
      <c r="C275" s="4" t="str">
        <f t="shared" si="4"/>
        <v>นครศรีธรรมราช|รย.12-น้อยกว่า 300cc</v>
      </c>
      <c r="D275" s="5"/>
    </row>
    <row r="276" spans="1:4" x14ac:dyDescent="0.3">
      <c r="A276" s="4" t="s">
        <v>65</v>
      </c>
      <c r="B276" s="4" t="s">
        <v>21</v>
      </c>
      <c r="C276" s="4" t="str">
        <f t="shared" si="4"/>
        <v>นครศรีธรรมราช|รย.12-300-799cc</v>
      </c>
      <c r="D276" s="5"/>
    </row>
    <row r="277" spans="1:4" x14ac:dyDescent="0.3">
      <c r="A277" s="4" t="s">
        <v>65</v>
      </c>
      <c r="B277" s="4" t="s">
        <v>22</v>
      </c>
      <c r="C277" s="4" t="str">
        <f t="shared" si="4"/>
        <v>นครศรีธรรมราช|รย.12-800-999cc</v>
      </c>
      <c r="D277" s="5"/>
    </row>
    <row r="278" spans="1:4" x14ac:dyDescent="0.3">
      <c r="A278" s="4" t="s">
        <v>65</v>
      </c>
      <c r="B278" s="4" t="s">
        <v>23</v>
      </c>
      <c r="C278" s="4" t="str">
        <f t="shared" si="4"/>
        <v>นครศรีธรรมราช|รย.12-1000cc ขึ้นไป</v>
      </c>
      <c r="D278" s="5"/>
    </row>
    <row r="279" spans="1:4" x14ac:dyDescent="0.3">
      <c r="A279" s="4" t="s">
        <v>65</v>
      </c>
      <c r="B279" s="4" t="s">
        <v>24</v>
      </c>
      <c r="C279" s="4" t="str">
        <f t="shared" si="4"/>
        <v>นครศรีธรรมราช|รย.1-เก๋ง 2 ตอน</v>
      </c>
      <c r="D279" s="5"/>
    </row>
    <row r="280" spans="1:4" x14ac:dyDescent="0.3">
      <c r="A280" s="4" t="s">
        <v>65</v>
      </c>
      <c r="B280" s="4" t="s">
        <v>26</v>
      </c>
      <c r="C280" s="4" t="str">
        <f t="shared" si="4"/>
        <v>นครศรีธรรมราช|รย.1-นั่ง 2 ตอน</v>
      </c>
      <c r="D280" s="5"/>
    </row>
    <row r="281" spans="1:4" x14ac:dyDescent="0.3">
      <c r="A281" s="4" t="s">
        <v>65</v>
      </c>
      <c r="B281" s="4" t="s">
        <v>27</v>
      </c>
      <c r="C281" s="4" t="str">
        <f t="shared" si="4"/>
        <v>นครศรีธรรมราช|รย.1-นั่ง 3 ตอน</v>
      </c>
      <c r="D281" s="5"/>
    </row>
    <row r="282" spans="1:4" x14ac:dyDescent="0.3">
      <c r="A282" s="4" t="s">
        <v>65</v>
      </c>
      <c r="B282" s="4" t="s">
        <v>28</v>
      </c>
      <c r="C282" s="4" t="str">
        <f t="shared" si="4"/>
        <v>นครศรีธรรมราช|รย.2-นั่ง 2 แถว</v>
      </c>
      <c r="D282" s="5"/>
    </row>
    <row r="283" spans="1:4" x14ac:dyDescent="0.3">
      <c r="A283" s="4" t="s">
        <v>65</v>
      </c>
      <c r="B283" s="4" t="s">
        <v>29</v>
      </c>
      <c r="C283" s="4" t="str">
        <f t="shared" si="4"/>
        <v>นครศรีธรรมราช|รย.2-นั่ง 4 ตอน</v>
      </c>
      <c r="D283" s="5"/>
    </row>
    <row r="284" spans="1:4" x14ac:dyDescent="0.3">
      <c r="A284" s="4" t="s">
        <v>65</v>
      </c>
      <c r="B284" s="4" t="s">
        <v>30</v>
      </c>
      <c r="C284" s="4" t="str">
        <f t="shared" si="4"/>
        <v>นครศรีธรรมราช|รย.3-กระบะบรรทุก</v>
      </c>
      <c r="D284" s="5"/>
    </row>
    <row r="285" spans="1:4" x14ac:dyDescent="0.3">
      <c r="A285" s="4" t="s">
        <v>65</v>
      </c>
      <c r="B285" s="4" t="s">
        <v>31</v>
      </c>
      <c r="C285" s="4" t="str">
        <f t="shared" si="4"/>
        <v>นครศรีธรรมราช|รย.3-กระบะบรรทุกมีหลังคา</v>
      </c>
      <c r="D285" s="5"/>
    </row>
    <row r="286" spans="1:4" x14ac:dyDescent="0.3">
      <c r="A286" s="4" t="s">
        <v>65</v>
      </c>
      <c r="B286" s="4" t="s">
        <v>32</v>
      </c>
      <c r="C286" s="4" t="str">
        <f t="shared" si="4"/>
        <v>นครศรีธรรมราช|รย.3-กระบะบรรทุกมีหลังคาแหนบ</v>
      </c>
      <c r="D286" s="5"/>
    </row>
    <row r="287" spans="1:4" x14ac:dyDescent="0.3">
      <c r="A287" s="4" t="s">
        <v>65</v>
      </c>
      <c r="B287" s="4" t="s">
        <v>33</v>
      </c>
      <c r="C287" s="4" t="str">
        <f t="shared" si="4"/>
        <v>นครศรีธรรมราช|รย.3-ตู้บรรทุก</v>
      </c>
      <c r="D287" s="5"/>
    </row>
    <row r="288" spans="1:4" x14ac:dyDescent="0.3">
      <c r="A288" s="4" t="s">
        <v>66</v>
      </c>
      <c r="B288" s="4" t="s">
        <v>19</v>
      </c>
      <c r="C288" s="4" t="str">
        <f t="shared" si="4"/>
        <v>นครสวรรค์|รย.12-น้อยกว่า 300cc</v>
      </c>
      <c r="D288" s="5"/>
    </row>
    <row r="289" spans="1:4" x14ac:dyDescent="0.3">
      <c r="A289" s="4" t="s">
        <v>66</v>
      </c>
      <c r="B289" s="4" t="s">
        <v>21</v>
      </c>
      <c r="C289" s="4" t="str">
        <f t="shared" si="4"/>
        <v>นครสวรรค์|รย.12-300-799cc</v>
      </c>
      <c r="D289" s="5"/>
    </row>
    <row r="290" spans="1:4" x14ac:dyDescent="0.3">
      <c r="A290" s="4" t="s">
        <v>66</v>
      </c>
      <c r="B290" s="4" t="s">
        <v>22</v>
      </c>
      <c r="C290" s="4" t="str">
        <f t="shared" si="4"/>
        <v>นครสวรรค์|รย.12-800-999cc</v>
      </c>
      <c r="D290" s="5"/>
    </row>
    <row r="291" spans="1:4" x14ac:dyDescent="0.3">
      <c r="A291" s="4" t="s">
        <v>66</v>
      </c>
      <c r="B291" s="4" t="s">
        <v>23</v>
      </c>
      <c r="C291" s="4" t="str">
        <f t="shared" si="4"/>
        <v>นครสวรรค์|รย.12-1000cc ขึ้นไป</v>
      </c>
      <c r="D291" s="5"/>
    </row>
    <row r="292" spans="1:4" x14ac:dyDescent="0.3">
      <c r="A292" s="4" t="s">
        <v>66</v>
      </c>
      <c r="B292" s="4" t="s">
        <v>24</v>
      </c>
      <c r="C292" s="4" t="str">
        <f t="shared" si="4"/>
        <v>นครสวรรค์|รย.1-เก๋ง 2 ตอน</v>
      </c>
      <c r="D292" s="5"/>
    </row>
    <row r="293" spans="1:4" x14ac:dyDescent="0.3">
      <c r="A293" s="4" t="s">
        <v>66</v>
      </c>
      <c r="B293" s="4" t="s">
        <v>26</v>
      </c>
      <c r="C293" s="4" t="str">
        <f t="shared" si="4"/>
        <v>นครสวรรค์|รย.1-นั่ง 2 ตอน</v>
      </c>
      <c r="D293" s="5"/>
    </row>
    <row r="294" spans="1:4" x14ac:dyDescent="0.3">
      <c r="A294" s="4" t="s">
        <v>66</v>
      </c>
      <c r="B294" s="4" t="s">
        <v>27</v>
      </c>
      <c r="C294" s="4" t="str">
        <f t="shared" si="4"/>
        <v>นครสวรรค์|รย.1-นั่ง 3 ตอน</v>
      </c>
      <c r="D294" s="5"/>
    </row>
    <row r="295" spans="1:4" x14ac:dyDescent="0.3">
      <c r="A295" s="4" t="s">
        <v>66</v>
      </c>
      <c r="B295" s="4" t="s">
        <v>28</v>
      </c>
      <c r="C295" s="4" t="str">
        <f t="shared" si="4"/>
        <v>นครสวรรค์|รย.2-นั่ง 2 แถว</v>
      </c>
      <c r="D295" s="5"/>
    </row>
    <row r="296" spans="1:4" x14ac:dyDescent="0.3">
      <c r="A296" s="4" t="s">
        <v>66</v>
      </c>
      <c r="B296" s="4" t="s">
        <v>29</v>
      </c>
      <c r="C296" s="4" t="str">
        <f t="shared" si="4"/>
        <v>นครสวรรค์|รย.2-นั่ง 4 ตอน</v>
      </c>
      <c r="D296" s="5"/>
    </row>
    <row r="297" spans="1:4" x14ac:dyDescent="0.3">
      <c r="A297" s="4" t="s">
        <v>66</v>
      </c>
      <c r="B297" s="4" t="s">
        <v>30</v>
      </c>
      <c r="C297" s="4" t="str">
        <f t="shared" si="4"/>
        <v>นครสวรรค์|รย.3-กระบะบรรทุก</v>
      </c>
      <c r="D297" s="5"/>
    </row>
    <row r="298" spans="1:4" x14ac:dyDescent="0.3">
      <c r="A298" s="4" t="s">
        <v>66</v>
      </c>
      <c r="B298" s="4" t="s">
        <v>31</v>
      </c>
      <c r="C298" s="4" t="str">
        <f t="shared" si="4"/>
        <v>นครสวรรค์|รย.3-กระบะบรรทุกมีหลังคา</v>
      </c>
      <c r="D298" s="5"/>
    </row>
    <row r="299" spans="1:4" x14ac:dyDescent="0.3">
      <c r="A299" s="4" t="s">
        <v>66</v>
      </c>
      <c r="B299" s="4" t="s">
        <v>32</v>
      </c>
      <c r="C299" s="4" t="str">
        <f t="shared" si="4"/>
        <v>นครสวรรค์|รย.3-กระบะบรรทุกมีหลังคาแหนบ</v>
      </c>
      <c r="D299" s="5"/>
    </row>
    <row r="300" spans="1:4" x14ac:dyDescent="0.3">
      <c r="A300" s="4" t="s">
        <v>66</v>
      </c>
      <c r="B300" s="4" t="s">
        <v>33</v>
      </c>
      <c r="C300" s="4" t="str">
        <f t="shared" si="4"/>
        <v>นครสวรรค์|รย.3-ตู้บรรทุก</v>
      </c>
      <c r="D300" s="5"/>
    </row>
    <row r="301" spans="1:4" x14ac:dyDescent="0.3">
      <c r="A301" s="4" t="s">
        <v>67</v>
      </c>
      <c r="B301" s="4" t="s">
        <v>19</v>
      </c>
      <c r="C301" s="4" t="str">
        <f t="shared" si="4"/>
        <v>นนทบุรี|รย.12-น้อยกว่า 300cc</v>
      </c>
      <c r="D301" s="5"/>
    </row>
    <row r="302" spans="1:4" x14ac:dyDescent="0.3">
      <c r="A302" s="4" t="s">
        <v>67</v>
      </c>
      <c r="B302" s="4" t="s">
        <v>21</v>
      </c>
      <c r="C302" s="4" t="str">
        <f t="shared" si="4"/>
        <v>นนทบุรี|รย.12-300-799cc</v>
      </c>
      <c r="D302" s="5"/>
    </row>
    <row r="303" spans="1:4" x14ac:dyDescent="0.3">
      <c r="A303" s="4" t="s">
        <v>67</v>
      </c>
      <c r="B303" s="4" t="s">
        <v>22</v>
      </c>
      <c r="C303" s="4" t="str">
        <f t="shared" si="4"/>
        <v>นนทบุรี|รย.12-800-999cc</v>
      </c>
      <c r="D303" s="5"/>
    </row>
    <row r="304" spans="1:4" x14ac:dyDescent="0.3">
      <c r="A304" s="4" t="s">
        <v>67</v>
      </c>
      <c r="B304" s="4" t="s">
        <v>23</v>
      </c>
      <c r="C304" s="4" t="str">
        <f t="shared" si="4"/>
        <v>นนทบุรี|รย.12-1000cc ขึ้นไป</v>
      </c>
      <c r="D304" s="5"/>
    </row>
    <row r="305" spans="1:4" x14ac:dyDescent="0.3">
      <c r="A305" s="4" t="s">
        <v>67</v>
      </c>
      <c r="B305" s="4" t="s">
        <v>24</v>
      </c>
      <c r="C305" s="4" t="str">
        <f t="shared" si="4"/>
        <v>นนทบุรี|รย.1-เก๋ง 2 ตอน</v>
      </c>
      <c r="D305" s="5"/>
    </row>
    <row r="306" spans="1:4" x14ac:dyDescent="0.3">
      <c r="A306" s="4" t="s">
        <v>67</v>
      </c>
      <c r="B306" s="4" t="s">
        <v>26</v>
      </c>
      <c r="C306" s="4" t="str">
        <f t="shared" si="4"/>
        <v>นนทบุรี|รย.1-นั่ง 2 ตอน</v>
      </c>
      <c r="D306" s="5"/>
    </row>
    <row r="307" spans="1:4" x14ac:dyDescent="0.3">
      <c r="A307" s="4" t="s">
        <v>67</v>
      </c>
      <c r="B307" s="4" t="s">
        <v>27</v>
      </c>
      <c r="C307" s="4" t="str">
        <f t="shared" si="4"/>
        <v>นนทบุรี|รย.1-นั่ง 3 ตอน</v>
      </c>
      <c r="D307" s="5"/>
    </row>
    <row r="308" spans="1:4" x14ac:dyDescent="0.3">
      <c r="A308" s="4" t="s">
        <v>67</v>
      </c>
      <c r="B308" s="4" t="s">
        <v>28</v>
      </c>
      <c r="C308" s="4" t="str">
        <f t="shared" si="4"/>
        <v>นนทบุรี|รย.2-นั่ง 2 แถว</v>
      </c>
      <c r="D308" s="5"/>
    </row>
    <row r="309" spans="1:4" x14ac:dyDescent="0.3">
      <c r="A309" s="4" t="s">
        <v>67</v>
      </c>
      <c r="B309" s="4" t="s">
        <v>29</v>
      </c>
      <c r="C309" s="4" t="str">
        <f t="shared" si="4"/>
        <v>นนทบุรี|รย.2-นั่ง 4 ตอน</v>
      </c>
      <c r="D309" s="5"/>
    </row>
    <row r="310" spans="1:4" x14ac:dyDescent="0.3">
      <c r="A310" s="4" t="s">
        <v>67</v>
      </c>
      <c r="B310" s="4" t="s">
        <v>30</v>
      </c>
      <c r="C310" s="4" t="str">
        <f t="shared" si="4"/>
        <v>นนทบุรี|รย.3-กระบะบรรทุก</v>
      </c>
      <c r="D310" s="5"/>
    </row>
    <row r="311" spans="1:4" x14ac:dyDescent="0.3">
      <c r="A311" s="4" t="s">
        <v>67</v>
      </c>
      <c r="B311" s="4" t="s">
        <v>31</v>
      </c>
      <c r="C311" s="4" t="str">
        <f t="shared" si="4"/>
        <v>นนทบุรี|รย.3-กระบะบรรทุกมีหลังคา</v>
      </c>
      <c r="D311" s="5"/>
    </row>
    <row r="312" spans="1:4" x14ac:dyDescent="0.3">
      <c r="A312" s="4" t="s">
        <v>67</v>
      </c>
      <c r="B312" s="4" t="s">
        <v>32</v>
      </c>
      <c r="C312" s="4" t="str">
        <f t="shared" si="4"/>
        <v>นนทบุรี|รย.3-กระบะบรรทุกมีหลังคาแหนบ</v>
      </c>
      <c r="D312" s="5"/>
    </row>
    <row r="313" spans="1:4" x14ac:dyDescent="0.3">
      <c r="A313" s="4" t="s">
        <v>67</v>
      </c>
      <c r="B313" s="4" t="s">
        <v>33</v>
      </c>
      <c r="C313" s="4" t="str">
        <f t="shared" si="4"/>
        <v>นนทบุรี|รย.3-ตู้บรรทุก</v>
      </c>
      <c r="D313" s="5"/>
    </row>
    <row r="314" spans="1:4" x14ac:dyDescent="0.3">
      <c r="A314" s="4" t="s">
        <v>68</v>
      </c>
      <c r="B314" s="4" t="s">
        <v>19</v>
      </c>
      <c r="C314" s="4" t="str">
        <f t="shared" si="4"/>
        <v>นราธิวาส|รย.12-น้อยกว่า 300cc</v>
      </c>
      <c r="D314" s="5"/>
    </row>
    <row r="315" spans="1:4" x14ac:dyDescent="0.3">
      <c r="A315" s="4" t="s">
        <v>68</v>
      </c>
      <c r="B315" s="4" t="s">
        <v>21</v>
      </c>
      <c r="C315" s="4" t="str">
        <f t="shared" si="4"/>
        <v>นราธิวาส|รย.12-300-799cc</v>
      </c>
      <c r="D315" s="5"/>
    </row>
    <row r="316" spans="1:4" x14ac:dyDescent="0.3">
      <c r="A316" s="4" t="s">
        <v>68</v>
      </c>
      <c r="B316" s="4" t="s">
        <v>22</v>
      </c>
      <c r="C316" s="4" t="str">
        <f t="shared" si="4"/>
        <v>นราธิวาส|รย.12-800-999cc</v>
      </c>
      <c r="D316" s="5"/>
    </row>
    <row r="317" spans="1:4" x14ac:dyDescent="0.3">
      <c r="A317" s="4" t="s">
        <v>68</v>
      </c>
      <c r="B317" s="4" t="s">
        <v>23</v>
      </c>
      <c r="C317" s="4" t="str">
        <f t="shared" si="4"/>
        <v>นราธิวาส|รย.12-1000cc ขึ้นไป</v>
      </c>
      <c r="D317" s="5"/>
    </row>
    <row r="318" spans="1:4" x14ac:dyDescent="0.3">
      <c r="A318" s="4" t="s">
        <v>68</v>
      </c>
      <c r="B318" s="4" t="s">
        <v>24</v>
      </c>
      <c r="C318" s="4" t="str">
        <f t="shared" si="4"/>
        <v>นราธิวาส|รย.1-เก๋ง 2 ตอน</v>
      </c>
      <c r="D318" s="5"/>
    </row>
    <row r="319" spans="1:4" x14ac:dyDescent="0.3">
      <c r="A319" s="4" t="s">
        <v>68</v>
      </c>
      <c r="B319" s="4" t="s">
        <v>26</v>
      </c>
      <c r="C319" s="4" t="str">
        <f t="shared" si="4"/>
        <v>นราธิวาส|รย.1-นั่ง 2 ตอน</v>
      </c>
      <c r="D319" s="5"/>
    </row>
    <row r="320" spans="1:4" x14ac:dyDescent="0.3">
      <c r="A320" s="4" t="s">
        <v>68</v>
      </c>
      <c r="B320" s="4" t="s">
        <v>27</v>
      </c>
      <c r="C320" s="4" t="str">
        <f t="shared" si="4"/>
        <v>นราธิวาส|รย.1-นั่ง 3 ตอน</v>
      </c>
      <c r="D320" s="5"/>
    </row>
    <row r="321" spans="1:4" x14ac:dyDescent="0.3">
      <c r="A321" s="4" t="s">
        <v>68</v>
      </c>
      <c r="B321" s="4" t="s">
        <v>28</v>
      </c>
      <c r="C321" s="4" t="str">
        <f t="shared" si="4"/>
        <v>นราธิวาส|รย.2-นั่ง 2 แถว</v>
      </c>
      <c r="D321" s="5"/>
    </row>
    <row r="322" spans="1:4" x14ac:dyDescent="0.3">
      <c r="A322" s="4" t="s">
        <v>68</v>
      </c>
      <c r="B322" s="4" t="s">
        <v>29</v>
      </c>
      <c r="C322" s="4" t="str">
        <f t="shared" ref="C322:C385" si="5">A322&amp;"|"&amp;B322</f>
        <v>นราธิวาส|รย.2-นั่ง 4 ตอน</v>
      </c>
      <c r="D322" s="5"/>
    </row>
    <row r="323" spans="1:4" x14ac:dyDescent="0.3">
      <c r="A323" s="4" t="s">
        <v>68</v>
      </c>
      <c r="B323" s="4" t="s">
        <v>30</v>
      </c>
      <c r="C323" s="4" t="str">
        <f t="shared" si="5"/>
        <v>นราธิวาส|รย.3-กระบะบรรทุก</v>
      </c>
      <c r="D323" s="5"/>
    </row>
    <row r="324" spans="1:4" x14ac:dyDescent="0.3">
      <c r="A324" s="4" t="s">
        <v>68</v>
      </c>
      <c r="B324" s="4" t="s">
        <v>31</v>
      </c>
      <c r="C324" s="4" t="str">
        <f t="shared" si="5"/>
        <v>นราธิวาส|รย.3-กระบะบรรทุกมีหลังคา</v>
      </c>
      <c r="D324" s="5"/>
    </row>
    <row r="325" spans="1:4" x14ac:dyDescent="0.3">
      <c r="A325" s="4" t="s">
        <v>68</v>
      </c>
      <c r="B325" s="4" t="s">
        <v>32</v>
      </c>
      <c r="C325" s="4" t="str">
        <f t="shared" si="5"/>
        <v>นราธิวาส|รย.3-กระบะบรรทุกมีหลังคาแหนบ</v>
      </c>
      <c r="D325" s="5"/>
    </row>
    <row r="326" spans="1:4" x14ac:dyDescent="0.3">
      <c r="A326" s="4" t="s">
        <v>68</v>
      </c>
      <c r="B326" s="4" t="s">
        <v>33</v>
      </c>
      <c r="C326" s="4" t="str">
        <f t="shared" si="5"/>
        <v>นราธิวาส|รย.3-ตู้บรรทุก</v>
      </c>
      <c r="D326" s="5"/>
    </row>
    <row r="327" spans="1:4" x14ac:dyDescent="0.3">
      <c r="A327" s="4" t="s">
        <v>69</v>
      </c>
      <c r="B327" s="4" t="s">
        <v>19</v>
      </c>
      <c r="C327" s="4" t="str">
        <f t="shared" si="5"/>
        <v>น่าน|รย.12-น้อยกว่า 300cc</v>
      </c>
      <c r="D327" s="5"/>
    </row>
    <row r="328" spans="1:4" x14ac:dyDescent="0.3">
      <c r="A328" s="4" t="s">
        <v>69</v>
      </c>
      <c r="B328" s="4" t="s">
        <v>21</v>
      </c>
      <c r="C328" s="4" t="str">
        <f t="shared" si="5"/>
        <v>น่าน|รย.12-300-799cc</v>
      </c>
      <c r="D328" s="5"/>
    </row>
    <row r="329" spans="1:4" x14ac:dyDescent="0.3">
      <c r="A329" s="4" t="s">
        <v>69</v>
      </c>
      <c r="B329" s="4" t="s">
        <v>22</v>
      </c>
      <c r="C329" s="4" t="str">
        <f t="shared" si="5"/>
        <v>น่าน|รย.12-800-999cc</v>
      </c>
      <c r="D329" s="5"/>
    </row>
    <row r="330" spans="1:4" x14ac:dyDescent="0.3">
      <c r="A330" s="4" t="s">
        <v>69</v>
      </c>
      <c r="B330" s="4" t="s">
        <v>23</v>
      </c>
      <c r="C330" s="4" t="str">
        <f t="shared" si="5"/>
        <v>น่าน|รย.12-1000cc ขึ้นไป</v>
      </c>
      <c r="D330" s="5"/>
    </row>
    <row r="331" spans="1:4" x14ac:dyDescent="0.3">
      <c r="A331" s="4" t="s">
        <v>69</v>
      </c>
      <c r="B331" s="4" t="s">
        <v>24</v>
      </c>
      <c r="C331" s="4" t="str">
        <f t="shared" si="5"/>
        <v>น่าน|รย.1-เก๋ง 2 ตอน</v>
      </c>
      <c r="D331" s="5"/>
    </row>
    <row r="332" spans="1:4" x14ac:dyDescent="0.3">
      <c r="A332" s="4" t="s">
        <v>69</v>
      </c>
      <c r="B332" s="4" t="s">
        <v>26</v>
      </c>
      <c r="C332" s="4" t="str">
        <f t="shared" si="5"/>
        <v>น่าน|รย.1-นั่ง 2 ตอน</v>
      </c>
      <c r="D332" s="5"/>
    </row>
    <row r="333" spans="1:4" x14ac:dyDescent="0.3">
      <c r="A333" s="4" t="s">
        <v>69</v>
      </c>
      <c r="B333" s="4" t="s">
        <v>27</v>
      </c>
      <c r="C333" s="4" t="str">
        <f t="shared" si="5"/>
        <v>น่าน|รย.1-นั่ง 3 ตอน</v>
      </c>
      <c r="D333" s="5"/>
    </row>
    <row r="334" spans="1:4" x14ac:dyDescent="0.3">
      <c r="A334" s="4" t="s">
        <v>69</v>
      </c>
      <c r="B334" s="4" t="s">
        <v>28</v>
      </c>
      <c r="C334" s="4" t="str">
        <f t="shared" si="5"/>
        <v>น่าน|รย.2-นั่ง 2 แถว</v>
      </c>
      <c r="D334" s="5"/>
    </row>
    <row r="335" spans="1:4" x14ac:dyDescent="0.3">
      <c r="A335" s="4" t="s">
        <v>69</v>
      </c>
      <c r="B335" s="4" t="s">
        <v>29</v>
      </c>
      <c r="C335" s="4" t="str">
        <f t="shared" si="5"/>
        <v>น่าน|รย.2-นั่ง 4 ตอน</v>
      </c>
      <c r="D335" s="5"/>
    </row>
    <row r="336" spans="1:4" x14ac:dyDescent="0.3">
      <c r="A336" s="4" t="s">
        <v>69</v>
      </c>
      <c r="B336" s="4" t="s">
        <v>30</v>
      </c>
      <c r="C336" s="4" t="str">
        <f t="shared" si="5"/>
        <v>น่าน|รย.3-กระบะบรรทุก</v>
      </c>
      <c r="D336" s="5"/>
    </row>
    <row r="337" spans="1:4" x14ac:dyDescent="0.3">
      <c r="A337" s="4" t="s">
        <v>69</v>
      </c>
      <c r="B337" s="4" t="s">
        <v>31</v>
      </c>
      <c r="C337" s="4" t="str">
        <f t="shared" si="5"/>
        <v>น่าน|รย.3-กระบะบรรทุกมีหลังคา</v>
      </c>
      <c r="D337" s="5"/>
    </row>
    <row r="338" spans="1:4" x14ac:dyDescent="0.3">
      <c r="A338" s="4" t="s">
        <v>69</v>
      </c>
      <c r="B338" s="4" t="s">
        <v>32</v>
      </c>
      <c r="C338" s="4" t="str">
        <f t="shared" si="5"/>
        <v>น่าน|รย.3-กระบะบรรทุกมีหลังคาแหนบ</v>
      </c>
      <c r="D338" s="5"/>
    </row>
    <row r="339" spans="1:4" x14ac:dyDescent="0.3">
      <c r="A339" s="4" t="s">
        <v>69</v>
      </c>
      <c r="B339" s="4" t="s">
        <v>33</v>
      </c>
      <c r="C339" s="4" t="str">
        <f t="shared" si="5"/>
        <v>น่าน|รย.3-ตู้บรรทุก</v>
      </c>
      <c r="D339" s="5"/>
    </row>
    <row r="340" spans="1:4" x14ac:dyDescent="0.3">
      <c r="A340" s="4" t="s">
        <v>70</v>
      </c>
      <c r="B340" s="4" t="s">
        <v>19</v>
      </c>
      <c r="C340" s="4" t="str">
        <f t="shared" si="5"/>
        <v>บึงกาฬ|รย.12-น้อยกว่า 300cc</v>
      </c>
      <c r="D340" s="5"/>
    </row>
    <row r="341" spans="1:4" x14ac:dyDescent="0.3">
      <c r="A341" s="4" t="s">
        <v>70</v>
      </c>
      <c r="B341" s="4" t="s">
        <v>21</v>
      </c>
      <c r="C341" s="4" t="str">
        <f t="shared" si="5"/>
        <v>บึงกาฬ|รย.12-300-799cc</v>
      </c>
      <c r="D341" s="5"/>
    </row>
    <row r="342" spans="1:4" x14ac:dyDescent="0.3">
      <c r="A342" s="4" t="s">
        <v>70</v>
      </c>
      <c r="B342" s="4" t="s">
        <v>22</v>
      </c>
      <c r="C342" s="4" t="str">
        <f t="shared" si="5"/>
        <v>บึงกาฬ|รย.12-800-999cc</v>
      </c>
      <c r="D342" s="5"/>
    </row>
    <row r="343" spans="1:4" x14ac:dyDescent="0.3">
      <c r="A343" s="4" t="s">
        <v>70</v>
      </c>
      <c r="B343" s="4" t="s">
        <v>23</v>
      </c>
      <c r="C343" s="4" t="str">
        <f t="shared" si="5"/>
        <v>บึงกาฬ|รย.12-1000cc ขึ้นไป</v>
      </c>
      <c r="D343" s="5"/>
    </row>
    <row r="344" spans="1:4" x14ac:dyDescent="0.3">
      <c r="A344" s="4" t="s">
        <v>70</v>
      </c>
      <c r="B344" s="4" t="s">
        <v>24</v>
      </c>
      <c r="C344" s="4" t="str">
        <f t="shared" si="5"/>
        <v>บึงกาฬ|รย.1-เก๋ง 2 ตอน</v>
      </c>
      <c r="D344" s="5"/>
    </row>
    <row r="345" spans="1:4" x14ac:dyDescent="0.3">
      <c r="A345" s="4" t="s">
        <v>70</v>
      </c>
      <c r="B345" s="4" t="s">
        <v>26</v>
      </c>
      <c r="C345" s="4" t="str">
        <f t="shared" si="5"/>
        <v>บึงกาฬ|รย.1-นั่ง 2 ตอน</v>
      </c>
      <c r="D345" s="5"/>
    </row>
    <row r="346" spans="1:4" x14ac:dyDescent="0.3">
      <c r="A346" s="4" t="s">
        <v>70</v>
      </c>
      <c r="B346" s="4" t="s">
        <v>27</v>
      </c>
      <c r="C346" s="4" t="str">
        <f t="shared" si="5"/>
        <v>บึงกาฬ|รย.1-นั่ง 3 ตอน</v>
      </c>
      <c r="D346" s="5"/>
    </row>
    <row r="347" spans="1:4" x14ac:dyDescent="0.3">
      <c r="A347" s="4" t="s">
        <v>70</v>
      </c>
      <c r="B347" s="4" t="s">
        <v>28</v>
      </c>
      <c r="C347" s="4" t="str">
        <f t="shared" si="5"/>
        <v>บึงกาฬ|รย.2-นั่ง 2 แถว</v>
      </c>
      <c r="D347" s="5"/>
    </row>
    <row r="348" spans="1:4" x14ac:dyDescent="0.3">
      <c r="A348" s="4" t="s">
        <v>70</v>
      </c>
      <c r="B348" s="4" t="s">
        <v>29</v>
      </c>
      <c r="C348" s="4" t="str">
        <f t="shared" si="5"/>
        <v>บึงกาฬ|รย.2-นั่ง 4 ตอน</v>
      </c>
      <c r="D348" s="5"/>
    </row>
    <row r="349" spans="1:4" x14ac:dyDescent="0.3">
      <c r="A349" s="4" t="s">
        <v>70</v>
      </c>
      <c r="B349" s="4" t="s">
        <v>30</v>
      </c>
      <c r="C349" s="4" t="str">
        <f t="shared" si="5"/>
        <v>บึงกาฬ|รย.3-กระบะบรรทุก</v>
      </c>
      <c r="D349" s="5"/>
    </row>
    <row r="350" spans="1:4" x14ac:dyDescent="0.3">
      <c r="A350" s="4" t="s">
        <v>70</v>
      </c>
      <c r="B350" s="4" t="s">
        <v>31</v>
      </c>
      <c r="C350" s="4" t="str">
        <f t="shared" si="5"/>
        <v>บึงกาฬ|รย.3-กระบะบรรทุกมีหลังคา</v>
      </c>
      <c r="D350" s="5"/>
    </row>
    <row r="351" spans="1:4" x14ac:dyDescent="0.3">
      <c r="A351" s="4" t="s">
        <v>70</v>
      </c>
      <c r="B351" s="4" t="s">
        <v>32</v>
      </c>
      <c r="C351" s="4" t="str">
        <f t="shared" si="5"/>
        <v>บึงกาฬ|รย.3-กระบะบรรทุกมีหลังคาแหนบ</v>
      </c>
      <c r="D351" s="5"/>
    </row>
    <row r="352" spans="1:4" x14ac:dyDescent="0.3">
      <c r="A352" s="4" t="s">
        <v>70</v>
      </c>
      <c r="B352" s="4" t="s">
        <v>33</v>
      </c>
      <c r="C352" s="4" t="str">
        <f t="shared" si="5"/>
        <v>บึงกาฬ|รย.3-ตู้บรรทุก</v>
      </c>
      <c r="D352" s="5"/>
    </row>
    <row r="353" spans="1:4" x14ac:dyDescent="0.3">
      <c r="A353" s="4" t="s">
        <v>71</v>
      </c>
      <c r="B353" s="4" t="s">
        <v>19</v>
      </c>
      <c r="C353" s="4" t="str">
        <f t="shared" si="5"/>
        <v>บุรีรัมย์|รย.12-น้อยกว่า 300cc</v>
      </c>
      <c r="D353" s="5"/>
    </row>
    <row r="354" spans="1:4" x14ac:dyDescent="0.3">
      <c r="A354" s="4" t="s">
        <v>71</v>
      </c>
      <c r="B354" s="4" t="s">
        <v>21</v>
      </c>
      <c r="C354" s="4" t="str">
        <f t="shared" si="5"/>
        <v>บุรีรัมย์|รย.12-300-799cc</v>
      </c>
      <c r="D354" s="5"/>
    </row>
    <row r="355" spans="1:4" x14ac:dyDescent="0.3">
      <c r="A355" s="4" t="s">
        <v>71</v>
      </c>
      <c r="B355" s="4" t="s">
        <v>22</v>
      </c>
      <c r="C355" s="4" t="str">
        <f t="shared" si="5"/>
        <v>บุรีรัมย์|รย.12-800-999cc</v>
      </c>
      <c r="D355" s="5"/>
    </row>
    <row r="356" spans="1:4" x14ac:dyDescent="0.3">
      <c r="A356" s="4" t="s">
        <v>71</v>
      </c>
      <c r="B356" s="4" t="s">
        <v>23</v>
      </c>
      <c r="C356" s="4" t="str">
        <f t="shared" si="5"/>
        <v>บุรีรัมย์|รย.12-1000cc ขึ้นไป</v>
      </c>
      <c r="D356" s="5"/>
    </row>
    <row r="357" spans="1:4" x14ac:dyDescent="0.3">
      <c r="A357" s="4" t="s">
        <v>71</v>
      </c>
      <c r="B357" s="4" t="s">
        <v>24</v>
      </c>
      <c r="C357" s="4" t="str">
        <f t="shared" si="5"/>
        <v>บุรีรัมย์|รย.1-เก๋ง 2 ตอน</v>
      </c>
      <c r="D357" s="5"/>
    </row>
    <row r="358" spans="1:4" x14ac:dyDescent="0.3">
      <c r="A358" s="4" t="s">
        <v>71</v>
      </c>
      <c r="B358" s="4" t="s">
        <v>26</v>
      </c>
      <c r="C358" s="4" t="str">
        <f t="shared" si="5"/>
        <v>บุรีรัมย์|รย.1-นั่ง 2 ตอน</v>
      </c>
      <c r="D358" s="5"/>
    </row>
    <row r="359" spans="1:4" x14ac:dyDescent="0.3">
      <c r="A359" s="4" t="s">
        <v>71</v>
      </c>
      <c r="B359" s="4" t="s">
        <v>27</v>
      </c>
      <c r="C359" s="4" t="str">
        <f t="shared" si="5"/>
        <v>บุรีรัมย์|รย.1-นั่ง 3 ตอน</v>
      </c>
      <c r="D359" s="5"/>
    </row>
    <row r="360" spans="1:4" x14ac:dyDescent="0.3">
      <c r="A360" s="4" t="s">
        <v>71</v>
      </c>
      <c r="B360" s="4" t="s">
        <v>28</v>
      </c>
      <c r="C360" s="4" t="str">
        <f t="shared" si="5"/>
        <v>บุรีรัมย์|รย.2-นั่ง 2 แถว</v>
      </c>
      <c r="D360" s="5"/>
    </row>
    <row r="361" spans="1:4" x14ac:dyDescent="0.3">
      <c r="A361" s="4" t="s">
        <v>71</v>
      </c>
      <c r="B361" s="4" t="s">
        <v>29</v>
      </c>
      <c r="C361" s="4" t="str">
        <f t="shared" si="5"/>
        <v>บุรีรัมย์|รย.2-นั่ง 4 ตอน</v>
      </c>
      <c r="D361" s="5"/>
    </row>
    <row r="362" spans="1:4" x14ac:dyDescent="0.3">
      <c r="A362" s="4" t="s">
        <v>71</v>
      </c>
      <c r="B362" s="4" t="s">
        <v>30</v>
      </c>
      <c r="C362" s="4" t="str">
        <f t="shared" si="5"/>
        <v>บุรีรัมย์|รย.3-กระบะบรรทุก</v>
      </c>
      <c r="D362" s="5"/>
    </row>
    <row r="363" spans="1:4" x14ac:dyDescent="0.3">
      <c r="A363" s="4" t="s">
        <v>71</v>
      </c>
      <c r="B363" s="4" t="s">
        <v>31</v>
      </c>
      <c r="C363" s="4" t="str">
        <f t="shared" si="5"/>
        <v>บุรีรัมย์|รย.3-กระบะบรรทุกมีหลังคา</v>
      </c>
      <c r="D363" s="5"/>
    </row>
    <row r="364" spans="1:4" x14ac:dyDescent="0.3">
      <c r="A364" s="4" t="s">
        <v>71</v>
      </c>
      <c r="B364" s="4" t="s">
        <v>32</v>
      </c>
      <c r="C364" s="4" t="str">
        <f t="shared" si="5"/>
        <v>บุรีรัมย์|รย.3-กระบะบรรทุกมีหลังคาแหนบ</v>
      </c>
      <c r="D364" s="5"/>
    </row>
    <row r="365" spans="1:4" x14ac:dyDescent="0.3">
      <c r="A365" s="4" t="s">
        <v>71</v>
      </c>
      <c r="B365" s="4" t="s">
        <v>33</v>
      </c>
      <c r="C365" s="4" t="str">
        <f t="shared" si="5"/>
        <v>บุรีรัมย์|รย.3-ตู้บรรทุก</v>
      </c>
      <c r="D365" s="5"/>
    </row>
    <row r="366" spans="1:4" x14ac:dyDescent="0.3">
      <c r="A366" s="4" t="s">
        <v>72</v>
      </c>
      <c r="B366" s="4" t="s">
        <v>19</v>
      </c>
      <c r="C366" s="4" t="str">
        <f t="shared" si="5"/>
        <v>ปทุมธานี|รย.12-น้อยกว่า 300cc</v>
      </c>
      <c r="D366" s="5"/>
    </row>
    <row r="367" spans="1:4" x14ac:dyDescent="0.3">
      <c r="A367" s="4" t="s">
        <v>72</v>
      </c>
      <c r="B367" s="4" t="s">
        <v>21</v>
      </c>
      <c r="C367" s="4" t="str">
        <f t="shared" si="5"/>
        <v>ปทุมธานี|รย.12-300-799cc</v>
      </c>
      <c r="D367" s="5"/>
    </row>
    <row r="368" spans="1:4" x14ac:dyDescent="0.3">
      <c r="A368" s="4" t="s">
        <v>72</v>
      </c>
      <c r="B368" s="4" t="s">
        <v>22</v>
      </c>
      <c r="C368" s="4" t="str">
        <f t="shared" si="5"/>
        <v>ปทุมธานี|รย.12-800-999cc</v>
      </c>
      <c r="D368" s="5"/>
    </row>
    <row r="369" spans="1:4" x14ac:dyDescent="0.3">
      <c r="A369" s="4" t="s">
        <v>72</v>
      </c>
      <c r="B369" s="4" t="s">
        <v>23</v>
      </c>
      <c r="C369" s="4" t="str">
        <f t="shared" si="5"/>
        <v>ปทุมธานี|รย.12-1000cc ขึ้นไป</v>
      </c>
      <c r="D369" s="5"/>
    </row>
    <row r="370" spans="1:4" x14ac:dyDescent="0.3">
      <c r="A370" s="4" t="s">
        <v>72</v>
      </c>
      <c r="B370" s="4" t="s">
        <v>24</v>
      </c>
      <c r="C370" s="4" t="str">
        <f t="shared" si="5"/>
        <v>ปทุมธานี|รย.1-เก๋ง 2 ตอน</v>
      </c>
      <c r="D370" s="5"/>
    </row>
    <row r="371" spans="1:4" x14ac:dyDescent="0.3">
      <c r="A371" s="4" t="s">
        <v>72</v>
      </c>
      <c r="B371" s="4" t="s">
        <v>26</v>
      </c>
      <c r="C371" s="4" t="str">
        <f t="shared" si="5"/>
        <v>ปทุมธานี|รย.1-นั่ง 2 ตอน</v>
      </c>
      <c r="D371" s="5"/>
    </row>
    <row r="372" spans="1:4" x14ac:dyDescent="0.3">
      <c r="A372" s="4" t="s">
        <v>72</v>
      </c>
      <c r="B372" s="4" t="s">
        <v>27</v>
      </c>
      <c r="C372" s="4" t="str">
        <f t="shared" si="5"/>
        <v>ปทุมธานี|รย.1-นั่ง 3 ตอน</v>
      </c>
      <c r="D372" s="5"/>
    </row>
    <row r="373" spans="1:4" x14ac:dyDescent="0.3">
      <c r="A373" s="4" t="s">
        <v>72</v>
      </c>
      <c r="B373" s="4" t="s">
        <v>28</v>
      </c>
      <c r="C373" s="4" t="str">
        <f t="shared" si="5"/>
        <v>ปทุมธานี|รย.2-นั่ง 2 แถว</v>
      </c>
      <c r="D373" s="5"/>
    </row>
    <row r="374" spans="1:4" x14ac:dyDescent="0.3">
      <c r="A374" s="4" t="s">
        <v>72</v>
      </c>
      <c r="B374" s="4" t="s">
        <v>29</v>
      </c>
      <c r="C374" s="4" t="str">
        <f t="shared" si="5"/>
        <v>ปทุมธานี|รย.2-นั่ง 4 ตอน</v>
      </c>
      <c r="D374" s="5"/>
    </row>
    <row r="375" spans="1:4" x14ac:dyDescent="0.3">
      <c r="A375" s="4" t="s">
        <v>72</v>
      </c>
      <c r="B375" s="4" t="s">
        <v>30</v>
      </c>
      <c r="C375" s="4" t="str">
        <f t="shared" si="5"/>
        <v>ปทุมธานี|รย.3-กระบะบรรทุก</v>
      </c>
      <c r="D375" s="5"/>
    </row>
    <row r="376" spans="1:4" x14ac:dyDescent="0.3">
      <c r="A376" s="4" t="s">
        <v>72</v>
      </c>
      <c r="B376" s="4" t="s">
        <v>31</v>
      </c>
      <c r="C376" s="4" t="str">
        <f t="shared" si="5"/>
        <v>ปทุมธานี|รย.3-กระบะบรรทุกมีหลังคา</v>
      </c>
      <c r="D376" s="5"/>
    </row>
    <row r="377" spans="1:4" x14ac:dyDescent="0.3">
      <c r="A377" s="4" t="s">
        <v>72</v>
      </c>
      <c r="B377" s="4" t="s">
        <v>32</v>
      </c>
      <c r="C377" s="4" t="str">
        <f t="shared" si="5"/>
        <v>ปทุมธานี|รย.3-กระบะบรรทุกมีหลังคาแหนบ</v>
      </c>
      <c r="D377" s="5"/>
    </row>
    <row r="378" spans="1:4" x14ac:dyDescent="0.3">
      <c r="A378" s="4" t="s">
        <v>72</v>
      </c>
      <c r="B378" s="4" t="s">
        <v>33</v>
      </c>
      <c r="C378" s="4" t="str">
        <f t="shared" si="5"/>
        <v>ปทุมธานี|รย.3-ตู้บรรทุก</v>
      </c>
      <c r="D378" s="5"/>
    </row>
    <row r="379" spans="1:4" x14ac:dyDescent="0.3">
      <c r="A379" s="4" t="s">
        <v>73</v>
      </c>
      <c r="B379" s="4" t="s">
        <v>19</v>
      </c>
      <c r="C379" s="4" t="str">
        <f t="shared" si="5"/>
        <v>ประจวบคีรีขันธ์|รย.12-น้อยกว่า 300cc</v>
      </c>
      <c r="D379" s="5"/>
    </row>
    <row r="380" spans="1:4" x14ac:dyDescent="0.3">
      <c r="A380" s="4" t="s">
        <v>73</v>
      </c>
      <c r="B380" s="4" t="s">
        <v>21</v>
      </c>
      <c r="C380" s="4" t="str">
        <f t="shared" si="5"/>
        <v>ประจวบคีรีขันธ์|รย.12-300-799cc</v>
      </c>
      <c r="D380" s="5"/>
    </row>
    <row r="381" spans="1:4" x14ac:dyDescent="0.3">
      <c r="A381" s="4" t="s">
        <v>73</v>
      </c>
      <c r="B381" s="4" t="s">
        <v>22</v>
      </c>
      <c r="C381" s="4" t="str">
        <f t="shared" si="5"/>
        <v>ประจวบคีรีขันธ์|รย.12-800-999cc</v>
      </c>
      <c r="D381" s="5"/>
    </row>
    <row r="382" spans="1:4" x14ac:dyDescent="0.3">
      <c r="A382" s="4" t="s">
        <v>73</v>
      </c>
      <c r="B382" s="4" t="s">
        <v>23</v>
      </c>
      <c r="C382" s="4" t="str">
        <f t="shared" si="5"/>
        <v>ประจวบคีรีขันธ์|รย.12-1000cc ขึ้นไป</v>
      </c>
      <c r="D382" s="5"/>
    </row>
    <row r="383" spans="1:4" x14ac:dyDescent="0.3">
      <c r="A383" s="4" t="s">
        <v>73</v>
      </c>
      <c r="B383" s="4" t="s">
        <v>24</v>
      </c>
      <c r="C383" s="4" t="str">
        <f t="shared" si="5"/>
        <v>ประจวบคีรีขันธ์|รย.1-เก๋ง 2 ตอน</v>
      </c>
      <c r="D383" s="5"/>
    </row>
    <row r="384" spans="1:4" x14ac:dyDescent="0.3">
      <c r="A384" s="4" t="s">
        <v>73</v>
      </c>
      <c r="B384" s="4" t="s">
        <v>26</v>
      </c>
      <c r="C384" s="4" t="str">
        <f t="shared" si="5"/>
        <v>ประจวบคีรีขันธ์|รย.1-นั่ง 2 ตอน</v>
      </c>
      <c r="D384" s="5"/>
    </row>
    <row r="385" spans="1:4" x14ac:dyDescent="0.3">
      <c r="A385" s="4" t="s">
        <v>73</v>
      </c>
      <c r="B385" s="4" t="s">
        <v>27</v>
      </c>
      <c r="C385" s="4" t="str">
        <f t="shared" si="5"/>
        <v>ประจวบคีรีขันธ์|รย.1-นั่ง 3 ตอน</v>
      </c>
      <c r="D385" s="5"/>
    </row>
    <row r="386" spans="1:4" x14ac:dyDescent="0.3">
      <c r="A386" s="4" t="s">
        <v>73</v>
      </c>
      <c r="B386" s="4" t="s">
        <v>28</v>
      </c>
      <c r="C386" s="4" t="str">
        <f t="shared" ref="C386:C449" si="6">A386&amp;"|"&amp;B386</f>
        <v>ประจวบคีรีขันธ์|รย.2-นั่ง 2 แถว</v>
      </c>
      <c r="D386" s="5"/>
    </row>
    <row r="387" spans="1:4" x14ac:dyDescent="0.3">
      <c r="A387" s="4" t="s">
        <v>73</v>
      </c>
      <c r="B387" s="4" t="s">
        <v>29</v>
      </c>
      <c r="C387" s="4" t="str">
        <f t="shared" si="6"/>
        <v>ประจวบคีรีขันธ์|รย.2-นั่ง 4 ตอน</v>
      </c>
      <c r="D387" s="5"/>
    </row>
    <row r="388" spans="1:4" x14ac:dyDescent="0.3">
      <c r="A388" s="4" t="s">
        <v>73</v>
      </c>
      <c r="B388" s="4" t="s">
        <v>30</v>
      </c>
      <c r="C388" s="4" t="str">
        <f t="shared" si="6"/>
        <v>ประจวบคีรีขันธ์|รย.3-กระบะบรรทุก</v>
      </c>
      <c r="D388" s="5"/>
    </row>
    <row r="389" spans="1:4" x14ac:dyDescent="0.3">
      <c r="A389" s="4" t="s">
        <v>73</v>
      </c>
      <c r="B389" s="4" t="s">
        <v>31</v>
      </c>
      <c r="C389" s="4" t="str">
        <f t="shared" si="6"/>
        <v>ประจวบคีรีขันธ์|รย.3-กระบะบรรทุกมีหลังคา</v>
      </c>
      <c r="D389" s="5"/>
    </row>
    <row r="390" spans="1:4" x14ac:dyDescent="0.3">
      <c r="A390" s="4" t="s">
        <v>73</v>
      </c>
      <c r="B390" s="4" t="s">
        <v>32</v>
      </c>
      <c r="C390" s="4" t="str">
        <f t="shared" si="6"/>
        <v>ประจวบคีรีขันธ์|รย.3-กระบะบรรทุกมีหลังคาแหนบ</v>
      </c>
      <c r="D390" s="5"/>
    </row>
    <row r="391" spans="1:4" x14ac:dyDescent="0.3">
      <c r="A391" s="4" t="s">
        <v>73</v>
      </c>
      <c r="B391" s="4" t="s">
        <v>33</v>
      </c>
      <c r="C391" s="4" t="str">
        <f t="shared" si="6"/>
        <v>ประจวบคีรีขันธ์|รย.3-ตู้บรรทุก</v>
      </c>
      <c r="D391" s="5"/>
    </row>
    <row r="392" spans="1:4" x14ac:dyDescent="0.3">
      <c r="A392" s="4" t="s">
        <v>74</v>
      </c>
      <c r="B392" s="4" t="s">
        <v>19</v>
      </c>
      <c r="C392" s="4" t="str">
        <f t="shared" si="6"/>
        <v>ปราจีนบุรี|รย.12-น้อยกว่า 300cc</v>
      </c>
      <c r="D392" s="5"/>
    </row>
    <row r="393" spans="1:4" x14ac:dyDescent="0.3">
      <c r="A393" s="4" t="s">
        <v>74</v>
      </c>
      <c r="B393" s="4" t="s">
        <v>21</v>
      </c>
      <c r="C393" s="4" t="str">
        <f t="shared" si="6"/>
        <v>ปราจีนบุรี|รย.12-300-799cc</v>
      </c>
      <c r="D393" s="5"/>
    </row>
    <row r="394" spans="1:4" x14ac:dyDescent="0.3">
      <c r="A394" s="4" t="s">
        <v>74</v>
      </c>
      <c r="B394" s="4" t="s">
        <v>22</v>
      </c>
      <c r="C394" s="4" t="str">
        <f t="shared" si="6"/>
        <v>ปราจีนบุรี|รย.12-800-999cc</v>
      </c>
      <c r="D394" s="5"/>
    </row>
    <row r="395" spans="1:4" x14ac:dyDescent="0.3">
      <c r="A395" s="4" t="s">
        <v>74</v>
      </c>
      <c r="B395" s="4" t="s">
        <v>23</v>
      </c>
      <c r="C395" s="4" t="str">
        <f t="shared" si="6"/>
        <v>ปราจีนบุรี|รย.12-1000cc ขึ้นไป</v>
      </c>
      <c r="D395" s="5"/>
    </row>
    <row r="396" spans="1:4" x14ac:dyDescent="0.3">
      <c r="A396" s="4" t="s">
        <v>74</v>
      </c>
      <c r="B396" s="4" t="s">
        <v>24</v>
      </c>
      <c r="C396" s="4" t="str">
        <f t="shared" si="6"/>
        <v>ปราจีนบุรี|รย.1-เก๋ง 2 ตอน</v>
      </c>
      <c r="D396" s="5"/>
    </row>
    <row r="397" spans="1:4" x14ac:dyDescent="0.3">
      <c r="A397" s="4" t="s">
        <v>74</v>
      </c>
      <c r="B397" s="4" t="s">
        <v>26</v>
      </c>
      <c r="C397" s="4" t="str">
        <f t="shared" si="6"/>
        <v>ปราจีนบุรี|รย.1-นั่ง 2 ตอน</v>
      </c>
      <c r="D397" s="5"/>
    </row>
    <row r="398" spans="1:4" x14ac:dyDescent="0.3">
      <c r="A398" s="4" t="s">
        <v>74</v>
      </c>
      <c r="B398" s="4" t="s">
        <v>27</v>
      </c>
      <c r="C398" s="4" t="str">
        <f t="shared" si="6"/>
        <v>ปราจีนบุรี|รย.1-นั่ง 3 ตอน</v>
      </c>
      <c r="D398" s="5"/>
    </row>
    <row r="399" spans="1:4" x14ac:dyDescent="0.3">
      <c r="A399" s="4" t="s">
        <v>74</v>
      </c>
      <c r="B399" s="4" t="s">
        <v>28</v>
      </c>
      <c r="C399" s="4" t="str">
        <f t="shared" si="6"/>
        <v>ปราจีนบุรี|รย.2-นั่ง 2 แถว</v>
      </c>
      <c r="D399" s="5"/>
    </row>
    <row r="400" spans="1:4" x14ac:dyDescent="0.3">
      <c r="A400" s="4" t="s">
        <v>74</v>
      </c>
      <c r="B400" s="4" t="s">
        <v>29</v>
      </c>
      <c r="C400" s="4" t="str">
        <f t="shared" si="6"/>
        <v>ปราจีนบุรี|รย.2-นั่ง 4 ตอน</v>
      </c>
      <c r="D400" s="5"/>
    </row>
    <row r="401" spans="1:4" x14ac:dyDescent="0.3">
      <c r="A401" s="4" t="s">
        <v>74</v>
      </c>
      <c r="B401" s="4" t="s">
        <v>30</v>
      </c>
      <c r="C401" s="4" t="str">
        <f t="shared" si="6"/>
        <v>ปราจีนบุรี|รย.3-กระบะบรรทุก</v>
      </c>
      <c r="D401" s="5"/>
    </row>
    <row r="402" spans="1:4" x14ac:dyDescent="0.3">
      <c r="A402" s="4" t="s">
        <v>74</v>
      </c>
      <c r="B402" s="4" t="s">
        <v>31</v>
      </c>
      <c r="C402" s="4" t="str">
        <f t="shared" si="6"/>
        <v>ปราจีนบุรี|รย.3-กระบะบรรทุกมีหลังคา</v>
      </c>
      <c r="D402" s="5"/>
    </row>
    <row r="403" spans="1:4" x14ac:dyDescent="0.3">
      <c r="A403" s="4" t="s">
        <v>74</v>
      </c>
      <c r="B403" s="4" t="s">
        <v>32</v>
      </c>
      <c r="C403" s="4" t="str">
        <f t="shared" si="6"/>
        <v>ปราจีนบุรี|รย.3-กระบะบรรทุกมีหลังคาแหนบ</v>
      </c>
      <c r="D403" s="5"/>
    </row>
    <row r="404" spans="1:4" x14ac:dyDescent="0.3">
      <c r="A404" s="4" t="s">
        <v>74</v>
      </c>
      <c r="B404" s="4" t="s">
        <v>33</v>
      </c>
      <c r="C404" s="4" t="str">
        <f t="shared" si="6"/>
        <v>ปราจีนบุรี|รย.3-ตู้บรรทุก</v>
      </c>
      <c r="D404" s="5"/>
    </row>
    <row r="405" spans="1:4" x14ac:dyDescent="0.3">
      <c r="A405" s="4" t="s">
        <v>75</v>
      </c>
      <c r="B405" s="4" t="s">
        <v>19</v>
      </c>
      <c r="C405" s="4" t="str">
        <f t="shared" si="6"/>
        <v>ปัตตานี|รย.12-น้อยกว่า 300cc</v>
      </c>
      <c r="D405" s="5"/>
    </row>
    <row r="406" spans="1:4" x14ac:dyDescent="0.3">
      <c r="A406" s="4" t="s">
        <v>75</v>
      </c>
      <c r="B406" s="4" t="s">
        <v>21</v>
      </c>
      <c r="C406" s="4" t="str">
        <f t="shared" si="6"/>
        <v>ปัตตานี|รย.12-300-799cc</v>
      </c>
      <c r="D406" s="5"/>
    </row>
    <row r="407" spans="1:4" x14ac:dyDescent="0.3">
      <c r="A407" s="4" t="s">
        <v>75</v>
      </c>
      <c r="B407" s="4" t="s">
        <v>22</v>
      </c>
      <c r="C407" s="4" t="str">
        <f t="shared" si="6"/>
        <v>ปัตตานี|รย.12-800-999cc</v>
      </c>
      <c r="D407" s="5"/>
    </row>
    <row r="408" spans="1:4" x14ac:dyDescent="0.3">
      <c r="A408" s="4" t="s">
        <v>75</v>
      </c>
      <c r="B408" s="4" t="s">
        <v>23</v>
      </c>
      <c r="C408" s="4" t="str">
        <f t="shared" si="6"/>
        <v>ปัตตานี|รย.12-1000cc ขึ้นไป</v>
      </c>
      <c r="D408" s="5"/>
    </row>
    <row r="409" spans="1:4" x14ac:dyDescent="0.3">
      <c r="A409" s="4" t="s">
        <v>75</v>
      </c>
      <c r="B409" s="4" t="s">
        <v>24</v>
      </c>
      <c r="C409" s="4" t="str">
        <f t="shared" si="6"/>
        <v>ปัตตานี|รย.1-เก๋ง 2 ตอน</v>
      </c>
      <c r="D409" s="5"/>
    </row>
    <row r="410" spans="1:4" x14ac:dyDescent="0.3">
      <c r="A410" s="4" t="s">
        <v>75</v>
      </c>
      <c r="B410" s="4" t="s">
        <v>26</v>
      </c>
      <c r="C410" s="4" t="str">
        <f t="shared" si="6"/>
        <v>ปัตตานี|รย.1-นั่ง 2 ตอน</v>
      </c>
      <c r="D410" s="5"/>
    </row>
    <row r="411" spans="1:4" x14ac:dyDescent="0.3">
      <c r="A411" s="4" t="s">
        <v>75</v>
      </c>
      <c r="B411" s="4" t="s">
        <v>27</v>
      </c>
      <c r="C411" s="4" t="str">
        <f t="shared" si="6"/>
        <v>ปัตตานี|รย.1-นั่ง 3 ตอน</v>
      </c>
      <c r="D411" s="5"/>
    </row>
    <row r="412" spans="1:4" x14ac:dyDescent="0.3">
      <c r="A412" s="4" t="s">
        <v>75</v>
      </c>
      <c r="B412" s="4" t="s">
        <v>28</v>
      </c>
      <c r="C412" s="4" t="str">
        <f t="shared" si="6"/>
        <v>ปัตตานี|รย.2-นั่ง 2 แถว</v>
      </c>
      <c r="D412" s="5"/>
    </row>
    <row r="413" spans="1:4" x14ac:dyDescent="0.3">
      <c r="A413" s="4" t="s">
        <v>75</v>
      </c>
      <c r="B413" s="4" t="s">
        <v>29</v>
      </c>
      <c r="C413" s="4" t="str">
        <f t="shared" si="6"/>
        <v>ปัตตานี|รย.2-นั่ง 4 ตอน</v>
      </c>
      <c r="D413" s="5"/>
    </row>
    <row r="414" spans="1:4" x14ac:dyDescent="0.3">
      <c r="A414" s="4" t="s">
        <v>75</v>
      </c>
      <c r="B414" s="4" t="s">
        <v>30</v>
      </c>
      <c r="C414" s="4" t="str">
        <f t="shared" si="6"/>
        <v>ปัตตานี|รย.3-กระบะบรรทุก</v>
      </c>
      <c r="D414" s="5"/>
    </row>
    <row r="415" spans="1:4" x14ac:dyDescent="0.3">
      <c r="A415" s="4" t="s">
        <v>75</v>
      </c>
      <c r="B415" s="4" t="s">
        <v>31</v>
      </c>
      <c r="C415" s="4" t="str">
        <f t="shared" si="6"/>
        <v>ปัตตานี|รย.3-กระบะบรรทุกมีหลังคา</v>
      </c>
      <c r="D415" s="5"/>
    </row>
    <row r="416" spans="1:4" x14ac:dyDescent="0.3">
      <c r="A416" s="4" t="s">
        <v>75</v>
      </c>
      <c r="B416" s="4" t="s">
        <v>32</v>
      </c>
      <c r="C416" s="4" t="str">
        <f t="shared" si="6"/>
        <v>ปัตตานี|รย.3-กระบะบรรทุกมีหลังคาแหนบ</v>
      </c>
      <c r="D416" s="5"/>
    </row>
    <row r="417" spans="1:4" x14ac:dyDescent="0.3">
      <c r="A417" s="4" t="s">
        <v>75</v>
      </c>
      <c r="B417" s="4" t="s">
        <v>33</v>
      </c>
      <c r="C417" s="4" t="str">
        <f t="shared" si="6"/>
        <v>ปัตตานี|รย.3-ตู้บรรทุก</v>
      </c>
      <c r="D417" s="5"/>
    </row>
    <row r="418" spans="1:4" x14ac:dyDescent="0.3">
      <c r="A418" s="4" t="s">
        <v>76</v>
      </c>
      <c r="B418" s="4" t="s">
        <v>19</v>
      </c>
      <c r="C418" s="4" t="str">
        <f t="shared" si="6"/>
        <v>พระนครศรีอยุธยา|รย.12-น้อยกว่า 300cc</v>
      </c>
      <c r="D418" s="5"/>
    </row>
    <row r="419" spans="1:4" x14ac:dyDescent="0.3">
      <c r="A419" s="4" t="s">
        <v>76</v>
      </c>
      <c r="B419" s="4" t="s">
        <v>21</v>
      </c>
      <c r="C419" s="4" t="str">
        <f t="shared" si="6"/>
        <v>พระนครศรีอยุธยา|รย.12-300-799cc</v>
      </c>
      <c r="D419" s="5"/>
    </row>
    <row r="420" spans="1:4" x14ac:dyDescent="0.3">
      <c r="A420" s="4" t="s">
        <v>76</v>
      </c>
      <c r="B420" s="4" t="s">
        <v>22</v>
      </c>
      <c r="C420" s="4" t="str">
        <f t="shared" si="6"/>
        <v>พระนครศรีอยุธยา|รย.12-800-999cc</v>
      </c>
      <c r="D420" s="5"/>
    </row>
    <row r="421" spans="1:4" x14ac:dyDescent="0.3">
      <c r="A421" s="4" t="s">
        <v>76</v>
      </c>
      <c r="B421" s="4" t="s">
        <v>23</v>
      </c>
      <c r="C421" s="4" t="str">
        <f t="shared" si="6"/>
        <v>พระนครศรีอยุธยา|รย.12-1000cc ขึ้นไป</v>
      </c>
      <c r="D421" s="5"/>
    </row>
    <row r="422" spans="1:4" x14ac:dyDescent="0.3">
      <c r="A422" s="4" t="s">
        <v>76</v>
      </c>
      <c r="B422" s="4" t="s">
        <v>24</v>
      </c>
      <c r="C422" s="4" t="str">
        <f t="shared" si="6"/>
        <v>พระนครศรีอยุธยา|รย.1-เก๋ง 2 ตอน</v>
      </c>
      <c r="D422" s="5"/>
    </row>
    <row r="423" spans="1:4" x14ac:dyDescent="0.3">
      <c r="A423" s="4" t="s">
        <v>76</v>
      </c>
      <c r="B423" s="4" t="s">
        <v>26</v>
      </c>
      <c r="C423" s="4" t="str">
        <f t="shared" si="6"/>
        <v>พระนครศรีอยุธยา|รย.1-นั่ง 2 ตอน</v>
      </c>
      <c r="D423" s="5"/>
    </row>
    <row r="424" spans="1:4" x14ac:dyDescent="0.3">
      <c r="A424" s="4" t="s">
        <v>76</v>
      </c>
      <c r="B424" s="4" t="s">
        <v>27</v>
      </c>
      <c r="C424" s="4" t="str">
        <f t="shared" si="6"/>
        <v>พระนครศรีอยุธยา|รย.1-นั่ง 3 ตอน</v>
      </c>
      <c r="D424" s="5"/>
    </row>
    <row r="425" spans="1:4" x14ac:dyDescent="0.3">
      <c r="A425" s="4" t="s">
        <v>76</v>
      </c>
      <c r="B425" s="4" t="s">
        <v>28</v>
      </c>
      <c r="C425" s="4" t="str">
        <f t="shared" si="6"/>
        <v>พระนครศรีอยุธยา|รย.2-นั่ง 2 แถว</v>
      </c>
      <c r="D425" s="5"/>
    </row>
    <row r="426" spans="1:4" x14ac:dyDescent="0.3">
      <c r="A426" s="4" t="s">
        <v>76</v>
      </c>
      <c r="B426" s="4" t="s">
        <v>29</v>
      </c>
      <c r="C426" s="4" t="str">
        <f t="shared" si="6"/>
        <v>พระนครศรีอยุธยา|รย.2-นั่ง 4 ตอน</v>
      </c>
      <c r="D426" s="5"/>
    </row>
    <row r="427" spans="1:4" x14ac:dyDescent="0.3">
      <c r="A427" s="4" t="s">
        <v>76</v>
      </c>
      <c r="B427" s="4" t="s">
        <v>30</v>
      </c>
      <c r="C427" s="4" t="str">
        <f t="shared" si="6"/>
        <v>พระนครศรีอยุธยา|รย.3-กระบะบรรทุก</v>
      </c>
      <c r="D427" s="5"/>
    </row>
    <row r="428" spans="1:4" x14ac:dyDescent="0.3">
      <c r="A428" s="4" t="s">
        <v>76</v>
      </c>
      <c r="B428" s="4" t="s">
        <v>31</v>
      </c>
      <c r="C428" s="4" t="str">
        <f t="shared" si="6"/>
        <v>พระนครศรีอยุธยา|รย.3-กระบะบรรทุกมีหลังคา</v>
      </c>
      <c r="D428" s="5"/>
    </row>
    <row r="429" spans="1:4" x14ac:dyDescent="0.3">
      <c r="A429" s="4" t="s">
        <v>76</v>
      </c>
      <c r="B429" s="4" t="s">
        <v>32</v>
      </c>
      <c r="C429" s="4" t="str">
        <f t="shared" si="6"/>
        <v>พระนครศรีอยุธยา|รย.3-กระบะบรรทุกมีหลังคาแหนบ</v>
      </c>
      <c r="D429" s="5"/>
    </row>
    <row r="430" spans="1:4" x14ac:dyDescent="0.3">
      <c r="A430" s="4" t="s">
        <v>76</v>
      </c>
      <c r="B430" s="4" t="s">
        <v>33</v>
      </c>
      <c r="C430" s="4" t="str">
        <f t="shared" si="6"/>
        <v>พระนครศรีอยุธยา|รย.3-ตู้บรรทุก</v>
      </c>
      <c r="D430" s="5"/>
    </row>
    <row r="431" spans="1:4" x14ac:dyDescent="0.3">
      <c r="A431" s="4" t="s">
        <v>77</v>
      </c>
      <c r="B431" s="4" t="s">
        <v>19</v>
      </c>
      <c r="C431" s="4" t="str">
        <f t="shared" si="6"/>
        <v>พะเยา|รย.12-น้อยกว่า 300cc</v>
      </c>
      <c r="D431" s="5"/>
    </row>
    <row r="432" spans="1:4" x14ac:dyDescent="0.3">
      <c r="A432" s="4" t="s">
        <v>77</v>
      </c>
      <c r="B432" s="4" t="s">
        <v>21</v>
      </c>
      <c r="C432" s="4" t="str">
        <f t="shared" si="6"/>
        <v>พะเยา|รย.12-300-799cc</v>
      </c>
      <c r="D432" s="5"/>
    </row>
    <row r="433" spans="1:4" x14ac:dyDescent="0.3">
      <c r="A433" s="4" t="s">
        <v>77</v>
      </c>
      <c r="B433" s="4" t="s">
        <v>22</v>
      </c>
      <c r="C433" s="4" t="str">
        <f t="shared" si="6"/>
        <v>พะเยา|รย.12-800-999cc</v>
      </c>
      <c r="D433" s="5"/>
    </row>
    <row r="434" spans="1:4" x14ac:dyDescent="0.3">
      <c r="A434" s="4" t="s">
        <v>77</v>
      </c>
      <c r="B434" s="4" t="s">
        <v>23</v>
      </c>
      <c r="C434" s="4" t="str">
        <f t="shared" si="6"/>
        <v>พะเยา|รย.12-1000cc ขึ้นไป</v>
      </c>
      <c r="D434" s="5"/>
    </row>
    <row r="435" spans="1:4" x14ac:dyDescent="0.3">
      <c r="A435" s="4" t="s">
        <v>77</v>
      </c>
      <c r="B435" s="4" t="s">
        <v>24</v>
      </c>
      <c r="C435" s="4" t="str">
        <f t="shared" si="6"/>
        <v>พะเยา|รย.1-เก๋ง 2 ตอน</v>
      </c>
      <c r="D435" s="5"/>
    </row>
    <row r="436" spans="1:4" x14ac:dyDescent="0.3">
      <c r="A436" s="4" t="s">
        <v>77</v>
      </c>
      <c r="B436" s="4" t="s">
        <v>26</v>
      </c>
      <c r="C436" s="4" t="str">
        <f t="shared" si="6"/>
        <v>พะเยา|รย.1-นั่ง 2 ตอน</v>
      </c>
      <c r="D436" s="5"/>
    </row>
    <row r="437" spans="1:4" x14ac:dyDescent="0.3">
      <c r="A437" s="4" t="s">
        <v>77</v>
      </c>
      <c r="B437" s="4" t="s">
        <v>27</v>
      </c>
      <c r="C437" s="4" t="str">
        <f t="shared" si="6"/>
        <v>พะเยา|รย.1-นั่ง 3 ตอน</v>
      </c>
      <c r="D437" s="5"/>
    </row>
    <row r="438" spans="1:4" x14ac:dyDescent="0.3">
      <c r="A438" s="4" t="s">
        <v>77</v>
      </c>
      <c r="B438" s="4" t="s">
        <v>28</v>
      </c>
      <c r="C438" s="4" t="str">
        <f t="shared" si="6"/>
        <v>พะเยา|รย.2-นั่ง 2 แถว</v>
      </c>
      <c r="D438" s="5"/>
    </row>
    <row r="439" spans="1:4" x14ac:dyDescent="0.3">
      <c r="A439" s="4" t="s">
        <v>77</v>
      </c>
      <c r="B439" s="4" t="s">
        <v>29</v>
      </c>
      <c r="C439" s="4" t="str">
        <f t="shared" si="6"/>
        <v>พะเยา|รย.2-นั่ง 4 ตอน</v>
      </c>
      <c r="D439" s="5"/>
    </row>
    <row r="440" spans="1:4" x14ac:dyDescent="0.3">
      <c r="A440" s="4" t="s">
        <v>77</v>
      </c>
      <c r="B440" s="4" t="s">
        <v>30</v>
      </c>
      <c r="C440" s="4" t="str">
        <f t="shared" si="6"/>
        <v>พะเยา|รย.3-กระบะบรรทุก</v>
      </c>
      <c r="D440" s="5"/>
    </row>
    <row r="441" spans="1:4" x14ac:dyDescent="0.3">
      <c r="A441" s="4" t="s">
        <v>77</v>
      </c>
      <c r="B441" s="4" t="s">
        <v>31</v>
      </c>
      <c r="C441" s="4" t="str">
        <f t="shared" si="6"/>
        <v>พะเยา|รย.3-กระบะบรรทุกมีหลังคา</v>
      </c>
      <c r="D441" s="5"/>
    </row>
    <row r="442" spans="1:4" x14ac:dyDescent="0.3">
      <c r="A442" s="4" t="s">
        <v>77</v>
      </c>
      <c r="B442" s="4" t="s">
        <v>32</v>
      </c>
      <c r="C442" s="4" t="str">
        <f t="shared" si="6"/>
        <v>พะเยา|รย.3-กระบะบรรทุกมีหลังคาแหนบ</v>
      </c>
      <c r="D442" s="5"/>
    </row>
    <row r="443" spans="1:4" x14ac:dyDescent="0.3">
      <c r="A443" s="4" t="s">
        <v>77</v>
      </c>
      <c r="B443" s="4" t="s">
        <v>33</v>
      </c>
      <c r="C443" s="4" t="str">
        <f t="shared" si="6"/>
        <v>พะเยา|รย.3-ตู้บรรทุก</v>
      </c>
      <c r="D443" s="5"/>
    </row>
    <row r="444" spans="1:4" x14ac:dyDescent="0.3">
      <c r="A444" s="4" t="s">
        <v>78</v>
      </c>
      <c r="B444" s="4" t="s">
        <v>19</v>
      </c>
      <c r="C444" s="4" t="str">
        <f t="shared" si="6"/>
        <v>พังงา|รย.12-น้อยกว่า 300cc</v>
      </c>
      <c r="D444" s="5"/>
    </row>
    <row r="445" spans="1:4" x14ac:dyDescent="0.3">
      <c r="A445" s="4" t="s">
        <v>78</v>
      </c>
      <c r="B445" s="4" t="s">
        <v>21</v>
      </c>
      <c r="C445" s="4" t="str">
        <f t="shared" si="6"/>
        <v>พังงา|รย.12-300-799cc</v>
      </c>
      <c r="D445" s="5"/>
    </row>
    <row r="446" spans="1:4" x14ac:dyDescent="0.3">
      <c r="A446" s="4" t="s">
        <v>78</v>
      </c>
      <c r="B446" s="4" t="s">
        <v>22</v>
      </c>
      <c r="C446" s="4" t="str">
        <f t="shared" si="6"/>
        <v>พังงา|รย.12-800-999cc</v>
      </c>
      <c r="D446" s="5"/>
    </row>
    <row r="447" spans="1:4" x14ac:dyDescent="0.3">
      <c r="A447" s="4" t="s">
        <v>78</v>
      </c>
      <c r="B447" s="4" t="s">
        <v>23</v>
      </c>
      <c r="C447" s="4" t="str">
        <f t="shared" si="6"/>
        <v>พังงา|รย.12-1000cc ขึ้นไป</v>
      </c>
      <c r="D447" s="5"/>
    </row>
    <row r="448" spans="1:4" x14ac:dyDescent="0.3">
      <c r="A448" s="4" t="s">
        <v>78</v>
      </c>
      <c r="B448" s="4" t="s">
        <v>24</v>
      </c>
      <c r="C448" s="4" t="str">
        <f t="shared" si="6"/>
        <v>พังงา|รย.1-เก๋ง 2 ตอน</v>
      </c>
      <c r="D448" s="5"/>
    </row>
    <row r="449" spans="1:4" x14ac:dyDescent="0.3">
      <c r="A449" s="4" t="s">
        <v>78</v>
      </c>
      <c r="B449" s="4" t="s">
        <v>26</v>
      </c>
      <c r="C449" s="4" t="str">
        <f t="shared" si="6"/>
        <v>พังงา|รย.1-นั่ง 2 ตอน</v>
      </c>
      <c r="D449" s="5"/>
    </row>
    <row r="450" spans="1:4" x14ac:dyDescent="0.3">
      <c r="A450" s="4" t="s">
        <v>78</v>
      </c>
      <c r="B450" s="4" t="s">
        <v>27</v>
      </c>
      <c r="C450" s="4" t="str">
        <f t="shared" ref="C450:C513" si="7">A450&amp;"|"&amp;B450</f>
        <v>พังงา|รย.1-นั่ง 3 ตอน</v>
      </c>
      <c r="D450" s="5"/>
    </row>
    <row r="451" spans="1:4" x14ac:dyDescent="0.3">
      <c r="A451" s="4" t="s">
        <v>78</v>
      </c>
      <c r="B451" s="4" t="s">
        <v>28</v>
      </c>
      <c r="C451" s="4" t="str">
        <f t="shared" si="7"/>
        <v>พังงา|รย.2-นั่ง 2 แถว</v>
      </c>
      <c r="D451" s="5"/>
    </row>
    <row r="452" spans="1:4" x14ac:dyDescent="0.3">
      <c r="A452" s="4" t="s">
        <v>78</v>
      </c>
      <c r="B452" s="4" t="s">
        <v>29</v>
      </c>
      <c r="C452" s="4" t="str">
        <f t="shared" si="7"/>
        <v>พังงา|รย.2-นั่ง 4 ตอน</v>
      </c>
      <c r="D452" s="5"/>
    </row>
    <row r="453" spans="1:4" x14ac:dyDescent="0.3">
      <c r="A453" s="4" t="s">
        <v>78</v>
      </c>
      <c r="B453" s="4" t="s">
        <v>30</v>
      </c>
      <c r="C453" s="4" t="str">
        <f t="shared" si="7"/>
        <v>พังงา|รย.3-กระบะบรรทุก</v>
      </c>
      <c r="D453" s="5"/>
    </row>
    <row r="454" spans="1:4" x14ac:dyDescent="0.3">
      <c r="A454" s="4" t="s">
        <v>78</v>
      </c>
      <c r="B454" s="4" t="s">
        <v>31</v>
      </c>
      <c r="C454" s="4" t="str">
        <f t="shared" si="7"/>
        <v>พังงา|รย.3-กระบะบรรทุกมีหลังคา</v>
      </c>
      <c r="D454" s="5"/>
    </row>
    <row r="455" spans="1:4" x14ac:dyDescent="0.3">
      <c r="A455" s="4" t="s">
        <v>78</v>
      </c>
      <c r="B455" s="4" t="s">
        <v>32</v>
      </c>
      <c r="C455" s="4" t="str">
        <f t="shared" si="7"/>
        <v>พังงา|รย.3-กระบะบรรทุกมีหลังคาแหนบ</v>
      </c>
      <c r="D455" s="5"/>
    </row>
    <row r="456" spans="1:4" x14ac:dyDescent="0.3">
      <c r="A456" s="4" t="s">
        <v>78</v>
      </c>
      <c r="B456" s="4" t="s">
        <v>33</v>
      </c>
      <c r="C456" s="4" t="str">
        <f t="shared" si="7"/>
        <v>พังงา|รย.3-ตู้บรรทุก</v>
      </c>
      <c r="D456" s="5"/>
    </row>
    <row r="457" spans="1:4" x14ac:dyDescent="0.3">
      <c r="A457" s="4" t="s">
        <v>79</v>
      </c>
      <c r="B457" s="4" t="s">
        <v>19</v>
      </c>
      <c r="C457" s="4" t="str">
        <f t="shared" si="7"/>
        <v>พัทลุง|รย.12-น้อยกว่า 300cc</v>
      </c>
      <c r="D457" s="5"/>
    </row>
    <row r="458" spans="1:4" x14ac:dyDescent="0.3">
      <c r="A458" s="4" t="s">
        <v>79</v>
      </c>
      <c r="B458" s="4" t="s">
        <v>21</v>
      </c>
      <c r="C458" s="4" t="str">
        <f t="shared" si="7"/>
        <v>พัทลุง|รย.12-300-799cc</v>
      </c>
      <c r="D458" s="5"/>
    </row>
    <row r="459" spans="1:4" x14ac:dyDescent="0.3">
      <c r="A459" s="4" t="s">
        <v>79</v>
      </c>
      <c r="B459" s="4" t="s">
        <v>22</v>
      </c>
      <c r="C459" s="4" t="str">
        <f t="shared" si="7"/>
        <v>พัทลุง|รย.12-800-999cc</v>
      </c>
      <c r="D459" s="5"/>
    </row>
    <row r="460" spans="1:4" x14ac:dyDescent="0.3">
      <c r="A460" s="4" t="s">
        <v>79</v>
      </c>
      <c r="B460" s="4" t="s">
        <v>23</v>
      </c>
      <c r="C460" s="4" t="str">
        <f t="shared" si="7"/>
        <v>พัทลุง|รย.12-1000cc ขึ้นไป</v>
      </c>
      <c r="D460" s="5"/>
    </row>
    <row r="461" spans="1:4" x14ac:dyDescent="0.3">
      <c r="A461" s="4" t="s">
        <v>79</v>
      </c>
      <c r="B461" s="4" t="s">
        <v>24</v>
      </c>
      <c r="C461" s="4" t="str">
        <f t="shared" si="7"/>
        <v>พัทลุง|รย.1-เก๋ง 2 ตอน</v>
      </c>
      <c r="D461" s="5"/>
    </row>
    <row r="462" spans="1:4" x14ac:dyDescent="0.3">
      <c r="A462" s="4" t="s">
        <v>79</v>
      </c>
      <c r="B462" s="4" t="s">
        <v>26</v>
      </c>
      <c r="C462" s="4" t="str">
        <f t="shared" si="7"/>
        <v>พัทลุง|รย.1-นั่ง 2 ตอน</v>
      </c>
      <c r="D462" s="5"/>
    </row>
    <row r="463" spans="1:4" x14ac:dyDescent="0.3">
      <c r="A463" s="4" t="s">
        <v>79</v>
      </c>
      <c r="B463" s="4" t="s">
        <v>27</v>
      </c>
      <c r="C463" s="4" t="str">
        <f t="shared" si="7"/>
        <v>พัทลุง|รย.1-นั่ง 3 ตอน</v>
      </c>
      <c r="D463" s="5"/>
    </row>
    <row r="464" spans="1:4" x14ac:dyDescent="0.3">
      <c r="A464" s="4" t="s">
        <v>79</v>
      </c>
      <c r="B464" s="4" t="s">
        <v>28</v>
      </c>
      <c r="C464" s="4" t="str">
        <f t="shared" si="7"/>
        <v>พัทลุง|รย.2-นั่ง 2 แถว</v>
      </c>
      <c r="D464" s="5"/>
    </row>
    <row r="465" spans="1:4" x14ac:dyDescent="0.3">
      <c r="A465" s="4" t="s">
        <v>79</v>
      </c>
      <c r="B465" s="4" t="s">
        <v>29</v>
      </c>
      <c r="C465" s="4" t="str">
        <f t="shared" si="7"/>
        <v>พัทลุง|รย.2-นั่ง 4 ตอน</v>
      </c>
      <c r="D465" s="5"/>
    </row>
    <row r="466" spans="1:4" x14ac:dyDescent="0.3">
      <c r="A466" s="4" t="s">
        <v>79</v>
      </c>
      <c r="B466" s="4" t="s">
        <v>30</v>
      </c>
      <c r="C466" s="4" t="str">
        <f t="shared" si="7"/>
        <v>พัทลุง|รย.3-กระบะบรรทุก</v>
      </c>
      <c r="D466" s="5"/>
    </row>
    <row r="467" spans="1:4" x14ac:dyDescent="0.3">
      <c r="A467" s="4" t="s">
        <v>79</v>
      </c>
      <c r="B467" s="4" t="s">
        <v>31</v>
      </c>
      <c r="C467" s="4" t="str">
        <f t="shared" si="7"/>
        <v>พัทลุง|รย.3-กระบะบรรทุกมีหลังคา</v>
      </c>
      <c r="D467" s="5"/>
    </row>
    <row r="468" spans="1:4" x14ac:dyDescent="0.3">
      <c r="A468" s="4" t="s">
        <v>79</v>
      </c>
      <c r="B468" s="4" t="s">
        <v>32</v>
      </c>
      <c r="C468" s="4" t="str">
        <f t="shared" si="7"/>
        <v>พัทลุง|รย.3-กระบะบรรทุกมีหลังคาแหนบ</v>
      </c>
      <c r="D468" s="5"/>
    </row>
    <row r="469" spans="1:4" x14ac:dyDescent="0.3">
      <c r="A469" s="4" t="s">
        <v>79</v>
      </c>
      <c r="B469" s="4" t="s">
        <v>33</v>
      </c>
      <c r="C469" s="4" t="str">
        <f t="shared" si="7"/>
        <v>พัทลุง|รย.3-ตู้บรรทุก</v>
      </c>
      <c r="D469" s="5"/>
    </row>
    <row r="470" spans="1:4" x14ac:dyDescent="0.3">
      <c r="A470" s="4" t="s">
        <v>80</v>
      </c>
      <c r="B470" s="4" t="s">
        <v>19</v>
      </c>
      <c r="C470" s="4" t="str">
        <f t="shared" si="7"/>
        <v>พิจิตร|รย.12-น้อยกว่า 300cc</v>
      </c>
      <c r="D470" s="5"/>
    </row>
    <row r="471" spans="1:4" x14ac:dyDescent="0.3">
      <c r="A471" s="4" t="s">
        <v>80</v>
      </c>
      <c r="B471" s="4" t="s">
        <v>21</v>
      </c>
      <c r="C471" s="4" t="str">
        <f t="shared" si="7"/>
        <v>พิจิตร|รย.12-300-799cc</v>
      </c>
      <c r="D471" s="5"/>
    </row>
    <row r="472" spans="1:4" x14ac:dyDescent="0.3">
      <c r="A472" s="4" t="s">
        <v>80</v>
      </c>
      <c r="B472" s="4" t="s">
        <v>22</v>
      </c>
      <c r="C472" s="4" t="str">
        <f t="shared" si="7"/>
        <v>พิจิตร|รย.12-800-999cc</v>
      </c>
      <c r="D472" s="5"/>
    </row>
    <row r="473" spans="1:4" x14ac:dyDescent="0.3">
      <c r="A473" s="4" t="s">
        <v>80</v>
      </c>
      <c r="B473" s="4" t="s">
        <v>23</v>
      </c>
      <c r="C473" s="4" t="str">
        <f t="shared" si="7"/>
        <v>พิจิตร|รย.12-1000cc ขึ้นไป</v>
      </c>
      <c r="D473" s="5"/>
    </row>
    <row r="474" spans="1:4" x14ac:dyDescent="0.3">
      <c r="A474" s="4" t="s">
        <v>80</v>
      </c>
      <c r="B474" s="4" t="s">
        <v>24</v>
      </c>
      <c r="C474" s="4" t="str">
        <f t="shared" si="7"/>
        <v>พิจิตร|รย.1-เก๋ง 2 ตอน</v>
      </c>
      <c r="D474" s="5"/>
    </row>
    <row r="475" spans="1:4" x14ac:dyDescent="0.3">
      <c r="A475" s="4" t="s">
        <v>80</v>
      </c>
      <c r="B475" s="4" t="s">
        <v>26</v>
      </c>
      <c r="C475" s="4" t="str">
        <f t="shared" si="7"/>
        <v>พิจิตร|รย.1-นั่ง 2 ตอน</v>
      </c>
      <c r="D475" s="5"/>
    </row>
    <row r="476" spans="1:4" x14ac:dyDescent="0.3">
      <c r="A476" s="4" t="s">
        <v>80</v>
      </c>
      <c r="B476" s="4" t="s">
        <v>27</v>
      </c>
      <c r="C476" s="4" t="str">
        <f t="shared" si="7"/>
        <v>พิจิตร|รย.1-นั่ง 3 ตอน</v>
      </c>
      <c r="D476" s="5"/>
    </row>
    <row r="477" spans="1:4" x14ac:dyDescent="0.3">
      <c r="A477" s="4" t="s">
        <v>80</v>
      </c>
      <c r="B477" s="4" t="s">
        <v>28</v>
      </c>
      <c r="C477" s="4" t="str">
        <f t="shared" si="7"/>
        <v>พิจิตร|รย.2-นั่ง 2 แถว</v>
      </c>
      <c r="D477" s="5"/>
    </row>
    <row r="478" spans="1:4" x14ac:dyDescent="0.3">
      <c r="A478" s="4" t="s">
        <v>80</v>
      </c>
      <c r="B478" s="4" t="s">
        <v>29</v>
      </c>
      <c r="C478" s="4" t="str">
        <f t="shared" si="7"/>
        <v>พิจิตร|รย.2-นั่ง 4 ตอน</v>
      </c>
      <c r="D478" s="5"/>
    </row>
    <row r="479" spans="1:4" x14ac:dyDescent="0.3">
      <c r="A479" s="4" t="s">
        <v>80</v>
      </c>
      <c r="B479" s="4" t="s">
        <v>30</v>
      </c>
      <c r="C479" s="4" t="str">
        <f t="shared" si="7"/>
        <v>พิจิตร|รย.3-กระบะบรรทุก</v>
      </c>
      <c r="D479" s="5"/>
    </row>
    <row r="480" spans="1:4" x14ac:dyDescent="0.3">
      <c r="A480" s="4" t="s">
        <v>80</v>
      </c>
      <c r="B480" s="4" t="s">
        <v>31</v>
      </c>
      <c r="C480" s="4" t="str">
        <f t="shared" si="7"/>
        <v>พิจิตร|รย.3-กระบะบรรทุกมีหลังคา</v>
      </c>
      <c r="D480" s="5"/>
    </row>
    <row r="481" spans="1:4" x14ac:dyDescent="0.3">
      <c r="A481" s="4" t="s">
        <v>80</v>
      </c>
      <c r="B481" s="4" t="s">
        <v>32</v>
      </c>
      <c r="C481" s="4" t="str">
        <f t="shared" si="7"/>
        <v>พิจิตร|รย.3-กระบะบรรทุกมีหลังคาแหนบ</v>
      </c>
      <c r="D481" s="5"/>
    </row>
    <row r="482" spans="1:4" x14ac:dyDescent="0.3">
      <c r="A482" s="4" t="s">
        <v>80</v>
      </c>
      <c r="B482" s="4" t="s">
        <v>33</v>
      </c>
      <c r="C482" s="4" t="str">
        <f t="shared" si="7"/>
        <v>พิจิตร|รย.3-ตู้บรรทุก</v>
      </c>
      <c r="D482" s="5"/>
    </row>
    <row r="483" spans="1:4" x14ac:dyDescent="0.3">
      <c r="A483" s="4" t="s">
        <v>81</v>
      </c>
      <c r="B483" s="4" t="s">
        <v>19</v>
      </c>
      <c r="C483" s="4" t="str">
        <f t="shared" si="7"/>
        <v>พิษณุโลก|รย.12-น้อยกว่า 300cc</v>
      </c>
      <c r="D483" s="5"/>
    </row>
    <row r="484" spans="1:4" x14ac:dyDescent="0.3">
      <c r="A484" s="4" t="s">
        <v>81</v>
      </c>
      <c r="B484" s="4" t="s">
        <v>21</v>
      </c>
      <c r="C484" s="4" t="str">
        <f t="shared" si="7"/>
        <v>พิษณุโลก|รย.12-300-799cc</v>
      </c>
      <c r="D484" s="5"/>
    </row>
    <row r="485" spans="1:4" x14ac:dyDescent="0.3">
      <c r="A485" s="4" t="s">
        <v>81</v>
      </c>
      <c r="B485" s="4" t="s">
        <v>22</v>
      </c>
      <c r="C485" s="4" t="str">
        <f t="shared" si="7"/>
        <v>พิษณุโลก|รย.12-800-999cc</v>
      </c>
      <c r="D485" s="5"/>
    </row>
    <row r="486" spans="1:4" x14ac:dyDescent="0.3">
      <c r="A486" s="4" t="s">
        <v>81</v>
      </c>
      <c r="B486" s="4" t="s">
        <v>23</v>
      </c>
      <c r="C486" s="4" t="str">
        <f t="shared" si="7"/>
        <v>พิษณุโลก|รย.12-1000cc ขึ้นไป</v>
      </c>
      <c r="D486" s="5"/>
    </row>
    <row r="487" spans="1:4" x14ac:dyDescent="0.3">
      <c r="A487" s="4" t="s">
        <v>81</v>
      </c>
      <c r="B487" s="4" t="s">
        <v>24</v>
      </c>
      <c r="C487" s="4" t="str">
        <f t="shared" si="7"/>
        <v>พิษณุโลก|รย.1-เก๋ง 2 ตอน</v>
      </c>
      <c r="D487" s="5"/>
    </row>
    <row r="488" spans="1:4" x14ac:dyDescent="0.3">
      <c r="A488" s="4" t="s">
        <v>81</v>
      </c>
      <c r="B488" s="4" t="s">
        <v>26</v>
      </c>
      <c r="C488" s="4" t="str">
        <f t="shared" si="7"/>
        <v>พิษณุโลก|รย.1-นั่ง 2 ตอน</v>
      </c>
      <c r="D488" s="5"/>
    </row>
    <row r="489" spans="1:4" x14ac:dyDescent="0.3">
      <c r="A489" s="4" t="s">
        <v>81</v>
      </c>
      <c r="B489" s="4" t="s">
        <v>27</v>
      </c>
      <c r="C489" s="4" t="str">
        <f t="shared" si="7"/>
        <v>พิษณุโลก|รย.1-นั่ง 3 ตอน</v>
      </c>
      <c r="D489" s="5"/>
    </row>
    <row r="490" spans="1:4" x14ac:dyDescent="0.3">
      <c r="A490" s="4" t="s">
        <v>81</v>
      </c>
      <c r="B490" s="4" t="s">
        <v>28</v>
      </c>
      <c r="C490" s="4" t="str">
        <f t="shared" si="7"/>
        <v>พิษณุโลก|รย.2-นั่ง 2 แถว</v>
      </c>
      <c r="D490" s="5"/>
    </row>
    <row r="491" spans="1:4" x14ac:dyDescent="0.3">
      <c r="A491" s="4" t="s">
        <v>81</v>
      </c>
      <c r="B491" s="4" t="s">
        <v>29</v>
      </c>
      <c r="C491" s="4" t="str">
        <f t="shared" si="7"/>
        <v>พิษณุโลก|รย.2-นั่ง 4 ตอน</v>
      </c>
      <c r="D491" s="5"/>
    </row>
    <row r="492" spans="1:4" x14ac:dyDescent="0.3">
      <c r="A492" s="4" t="s">
        <v>81</v>
      </c>
      <c r="B492" s="4" t="s">
        <v>30</v>
      </c>
      <c r="C492" s="4" t="str">
        <f t="shared" si="7"/>
        <v>พิษณุโลก|รย.3-กระบะบรรทุก</v>
      </c>
      <c r="D492" s="5"/>
    </row>
    <row r="493" spans="1:4" x14ac:dyDescent="0.3">
      <c r="A493" s="4" t="s">
        <v>81</v>
      </c>
      <c r="B493" s="4" t="s">
        <v>31</v>
      </c>
      <c r="C493" s="4" t="str">
        <f t="shared" si="7"/>
        <v>พิษณุโลก|รย.3-กระบะบรรทุกมีหลังคา</v>
      </c>
      <c r="D493" s="5"/>
    </row>
    <row r="494" spans="1:4" x14ac:dyDescent="0.3">
      <c r="A494" s="4" t="s">
        <v>81</v>
      </c>
      <c r="B494" s="4" t="s">
        <v>32</v>
      </c>
      <c r="C494" s="4" t="str">
        <f t="shared" si="7"/>
        <v>พิษณุโลก|รย.3-กระบะบรรทุกมีหลังคาแหนบ</v>
      </c>
      <c r="D494" s="5"/>
    </row>
    <row r="495" spans="1:4" x14ac:dyDescent="0.3">
      <c r="A495" s="4" t="s">
        <v>81</v>
      </c>
      <c r="B495" s="4" t="s">
        <v>33</v>
      </c>
      <c r="C495" s="4" t="str">
        <f t="shared" si="7"/>
        <v>พิษณุโลก|รย.3-ตู้บรรทุก</v>
      </c>
      <c r="D495" s="5"/>
    </row>
    <row r="496" spans="1:4" x14ac:dyDescent="0.3">
      <c r="A496" s="4" t="s">
        <v>82</v>
      </c>
      <c r="B496" s="4" t="s">
        <v>19</v>
      </c>
      <c r="C496" s="4" t="str">
        <f t="shared" si="7"/>
        <v>เพชรบุรี|รย.12-น้อยกว่า 300cc</v>
      </c>
      <c r="D496" s="5"/>
    </row>
    <row r="497" spans="1:4" x14ac:dyDescent="0.3">
      <c r="A497" s="4" t="s">
        <v>82</v>
      </c>
      <c r="B497" s="4" t="s">
        <v>21</v>
      </c>
      <c r="C497" s="4" t="str">
        <f t="shared" si="7"/>
        <v>เพชรบุรี|รย.12-300-799cc</v>
      </c>
      <c r="D497" s="5"/>
    </row>
    <row r="498" spans="1:4" x14ac:dyDescent="0.3">
      <c r="A498" s="4" t="s">
        <v>82</v>
      </c>
      <c r="B498" s="4" t="s">
        <v>22</v>
      </c>
      <c r="C498" s="4" t="str">
        <f t="shared" si="7"/>
        <v>เพชรบุรี|รย.12-800-999cc</v>
      </c>
      <c r="D498" s="5"/>
    </row>
    <row r="499" spans="1:4" x14ac:dyDescent="0.3">
      <c r="A499" s="4" t="s">
        <v>82</v>
      </c>
      <c r="B499" s="4" t="s">
        <v>23</v>
      </c>
      <c r="C499" s="4" t="str">
        <f t="shared" si="7"/>
        <v>เพชรบุรี|รย.12-1000cc ขึ้นไป</v>
      </c>
      <c r="D499" s="5"/>
    </row>
    <row r="500" spans="1:4" x14ac:dyDescent="0.3">
      <c r="A500" s="4" t="s">
        <v>82</v>
      </c>
      <c r="B500" s="4" t="s">
        <v>24</v>
      </c>
      <c r="C500" s="4" t="str">
        <f t="shared" si="7"/>
        <v>เพชรบุรี|รย.1-เก๋ง 2 ตอน</v>
      </c>
      <c r="D500" s="5"/>
    </row>
    <row r="501" spans="1:4" x14ac:dyDescent="0.3">
      <c r="A501" s="4" t="s">
        <v>82</v>
      </c>
      <c r="B501" s="4" t="s">
        <v>26</v>
      </c>
      <c r="C501" s="4" t="str">
        <f t="shared" si="7"/>
        <v>เพชรบุรี|รย.1-นั่ง 2 ตอน</v>
      </c>
      <c r="D501" s="5"/>
    </row>
    <row r="502" spans="1:4" x14ac:dyDescent="0.3">
      <c r="A502" s="4" t="s">
        <v>82</v>
      </c>
      <c r="B502" s="4" t="s">
        <v>27</v>
      </c>
      <c r="C502" s="4" t="str">
        <f t="shared" si="7"/>
        <v>เพชรบุรี|รย.1-นั่ง 3 ตอน</v>
      </c>
      <c r="D502" s="5"/>
    </row>
    <row r="503" spans="1:4" x14ac:dyDescent="0.3">
      <c r="A503" s="4" t="s">
        <v>82</v>
      </c>
      <c r="B503" s="4" t="s">
        <v>28</v>
      </c>
      <c r="C503" s="4" t="str">
        <f t="shared" si="7"/>
        <v>เพชรบุรี|รย.2-นั่ง 2 แถว</v>
      </c>
      <c r="D503" s="5"/>
    </row>
    <row r="504" spans="1:4" x14ac:dyDescent="0.3">
      <c r="A504" s="4" t="s">
        <v>82</v>
      </c>
      <c r="B504" s="4" t="s">
        <v>29</v>
      </c>
      <c r="C504" s="4" t="str">
        <f t="shared" si="7"/>
        <v>เพชรบุรี|รย.2-นั่ง 4 ตอน</v>
      </c>
      <c r="D504" s="5"/>
    </row>
    <row r="505" spans="1:4" x14ac:dyDescent="0.3">
      <c r="A505" s="4" t="s">
        <v>82</v>
      </c>
      <c r="B505" s="4" t="s">
        <v>30</v>
      </c>
      <c r="C505" s="4" t="str">
        <f t="shared" si="7"/>
        <v>เพชรบุรี|รย.3-กระบะบรรทุก</v>
      </c>
      <c r="D505" s="5"/>
    </row>
    <row r="506" spans="1:4" x14ac:dyDescent="0.3">
      <c r="A506" s="4" t="s">
        <v>82</v>
      </c>
      <c r="B506" s="4" t="s">
        <v>31</v>
      </c>
      <c r="C506" s="4" t="str">
        <f t="shared" si="7"/>
        <v>เพชรบุรี|รย.3-กระบะบรรทุกมีหลังคา</v>
      </c>
      <c r="D506" s="5"/>
    </row>
    <row r="507" spans="1:4" x14ac:dyDescent="0.3">
      <c r="A507" s="4" t="s">
        <v>82</v>
      </c>
      <c r="B507" s="4" t="s">
        <v>32</v>
      </c>
      <c r="C507" s="4" t="str">
        <f t="shared" si="7"/>
        <v>เพชรบุรี|รย.3-กระบะบรรทุกมีหลังคาแหนบ</v>
      </c>
      <c r="D507" s="5"/>
    </row>
    <row r="508" spans="1:4" x14ac:dyDescent="0.3">
      <c r="A508" s="4" t="s">
        <v>82</v>
      </c>
      <c r="B508" s="4" t="s">
        <v>33</v>
      </c>
      <c r="C508" s="4" t="str">
        <f t="shared" si="7"/>
        <v>เพชรบุรี|รย.3-ตู้บรรทุก</v>
      </c>
      <c r="D508" s="5"/>
    </row>
    <row r="509" spans="1:4" x14ac:dyDescent="0.3">
      <c r="A509" s="4" t="s">
        <v>83</v>
      </c>
      <c r="B509" s="4" t="s">
        <v>19</v>
      </c>
      <c r="C509" s="4" t="str">
        <f t="shared" si="7"/>
        <v>เพชรบูรณ์|รย.12-น้อยกว่า 300cc</v>
      </c>
      <c r="D509" s="5"/>
    </row>
    <row r="510" spans="1:4" x14ac:dyDescent="0.3">
      <c r="A510" s="4" t="s">
        <v>83</v>
      </c>
      <c r="B510" s="4" t="s">
        <v>21</v>
      </c>
      <c r="C510" s="4" t="str">
        <f t="shared" si="7"/>
        <v>เพชรบูรณ์|รย.12-300-799cc</v>
      </c>
      <c r="D510" s="5"/>
    </row>
    <row r="511" spans="1:4" x14ac:dyDescent="0.3">
      <c r="A511" s="4" t="s">
        <v>83</v>
      </c>
      <c r="B511" s="4" t="s">
        <v>22</v>
      </c>
      <c r="C511" s="4" t="str">
        <f t="shared" si="7"/>
        <v>เพชรบูรณ์|รย.12-800-999cc</v>
      </c>
      <c r="D511" s="5"/>
    </row>
    <row r="512" spans="1:4" x14ac:dyDescent="0.3">
      <c r="A512" s="4" t="s">
        <v>83</v>
      </c>
      <c r="B512" s="4" t="s">
        <v>23</v>
      </c>
      <c r="C512" s="4" t="str">
        <f t="shared" si="7"/>
        <v>เพชรบูรณ์|รย.12-1000cc ขึ้นไป</v>
      </c>
      <c r="D512" s="5"/>
    </row>
    <row r="513" spans="1:4" x14ac:dyDescent="0.3">
      <c r="A513" s="4" t="s">
        <v>83</v>
      </c>
      <c r="B513" s="4" t="s">
        <v>24</v>
      </c>
      <c r="C513" s="4" t="str">
        <f t="shared" si="7"/>
        <v>เพชรบูรณ์|รย.1-เก๋ง 2 ตอน</v>
      </c>
      <c r="D513" s="5"/>
    </row>
    <row r="514" spans="1:4" x14ac:dyDescent="0.3">
      <c r="A514" s="4" t="s">
        <v>83</v>
      </c>
      <c r="B514" s="4" t="s">
        <v>26</v>
      </c>
      <c r="C514" s="4" t="str">
        <f t="shared" ref="C514:C577" si="8">A514&amp;"|"&amp;B514</f>
        <v>เพชรบูรณ์|รย.1-นั่ง 2 ตอน</v>
      </c>
      <c r="D514" s="5"/>
    </row>
    <row r="515" spans="1:4" x14ac:dyDescent="0.3">
      <c r="A515" s="4" t="s">
        <v>83</v>
      </c>
      <c r="B515" s="4" t="s">
        <v>27</v>
      </c>
      <c r="C515" s="4" t="str">
        <f t="shared" si="8"/>
        <v>เพชรบูรณ์|รย.1-นั่ง 3 ตอน</v>
      </c>
      <c r="D515" s="5"/>
    </row>
    <row r="516" spans="1:4" x14ac:dyDescent="0.3">
      <c r="A516" s="4" t="s">
        <v>83</v>
      </c>
      <c r="B516" s="4" t="s">
        <v>28</v>
      </c>
      <c r="C516" s="4" t="str">
        <f t="shared" si="8"/>
        <v>เพชรบูรณ์|รย.2-นั่ง 2 แถว</v>
      </c>
      <c r="D516" s="5"/>
    </row>
    <row r="517" spans="1:4" x14ac:dyDescent="0.3">
      <c r="A517" s="4" t="s">
        <v>83</v>
      </c>
      <c r="B517" s="4" t="s">
        <v>29</v>
      </c>
      <c r="C517" s="4" t="str">
        <f t="shared" si="8"/>
        <v>เพชรบูรณ์|รย.2-นั่ง 4 ตอน</v>
      </c>
      <c r="D517" s="5"/>
    </row>
    <row r="518" spans="1:4" x14ac:dyDescent="0.3">
      <c r="A518" s="4" t="s">
        <v>83</v>
      </c>
      <c r="B518" s="4" t="s">
        <v>30</v>
      </c>
      <c r="C518" s="4" t="str">
        <f t="shared" si="8"/>
        <v>เพชรบูรณ์|รย.3-กระบะบรรทุก</v>
      </c>
      <c r="D518" s="5"/>
    </row>
    <row r="519" spans="1:4" x14ac:dyDescent="0.3">
      <c r="A519" s="4" t="s">
        <v>83</v>
      </c>
      <c r="B519" s="4" t="s">
        <v>31</v>
      </c>
      <c r="C519" s="4" t="str">
        <f t="shared" si="8"/>
        <v>เพชรบูรณ์|รย.3-กระบะบรรทุกมีหลังคา</v>
      </c>
      <c r="D519" s="5"/>
    </row>
    <row r="520" spans="1:4" x14ac:dyDescent="0.3">
      <c r="A520" s="4" t="s">
        <v>83</v>
      </c>
      <c r="B520" s="4" t="s">
        <v>32</v>
      </c>
      <c r="C520" s="4" t="str">
        <f t="shared" si="8"/>
        <v>เพชรบูรณ์|รย.3-กระบะบรรทุกมีหลังคาแหนบ</v>
      </c>
      <c r="D520" s="5"/>
    </row>
    <row r="521" spans="1:4" x14ac:dyDescent="0.3">
      <c r="A521" s="4" t="s">
        <v>83</v>
      </c>
      <c r="B521" s="4" t="s">
        <v>33</v>
      </c>
      <c r="C521" s="4" t="str">
        <f t="shared" si="8"/>
        <v>เพชรบูรณ์|รย.3-ตู้บรรทุก</v>
      </c>
      <c r="D521" s="5"/>
    </row>
    <row r="522" spans="1:4" x14ac:dyDescent="0.3">
      <c r="A522" s="4" t="s">
        <v>84</v>
      </c>
      <c r="B522" s="4" t="s">
        <v>19</v>
      </c>
      <c r="C522" s="4" t="str">
        <f t="shared" si="8"/>
        <v>แพร่|รย.12-น้อยกว่า 300cc</v>
      </c>
      <c r="D522" s="5"/>
    </row>
    <row r="523" spans="1:4" x14ac:dyDescent="0.3">
      <c r="A523" s="4" t="s">
        <v>84</v>
      </c>
      <c r="B523" s="4" t="s">
        <v>21</v>
      </c>
      <c r="C523" s="4" t="str">
        <f t="shared" si="8"/>
        <v>แพร่|รย.12-300-799cc</v>
      </c>
      <c r="D523" s="5"/>
    </row>
    <row r="524" spans="1:4" x14ac:dyDescent="0.3">
      <c r="A524" s="4" t="s">
        <v>84</v>
      </c>
      <c r="B524" s="4" t="s">
        <v>22</v>
      </c>
      <c r="C524" s="4" t="str">
        <f t="shared" si="8"/>
        <v>แพร่|รย.12-800-999cc</v>
      </c>
      <c r="D524" s="5"/>
    </row>
    <row r="525" spans="1:4" x14ac:dyDescent="0.3">
      <c r="A525" s="4" t="s">
        <v>84</v>
      </c>
      <c r="B525" s="4" t="s">
        <v>23</v>
      </c>
      <c r="C525" s="4" t="str">
        <f t="shared" si="8"/>
        <v>แพร่|รย.12-1000cc ขึ้นไป</v>
      </c>
      <c r="D525" s="5"/>
    </row>
    <row r="526" spans="1:4" x14ac:dyDescent="0.3">
      <c r="A526" s="4" t="s">
        <v>84</v>
      </c>
      <c r="B526" s="4" t="s">
        <v>24</v>
      </c>
      <c r="C526" s="4" t="str">
        <f t="shared" si="8"/>
        <v>แพร่|รย.1-เก๋ง 2 ตอน</v>
      </c>
      <c r="D526" s="5"/>
    </row>
    <row r="527" spans="1:4" x14ac:dyDescent="0.3">
      <c r="A527" s="4" t="s">
        <v>84</v>
      </c>
      <c r="B527" s="4" t="s">
        <v>26</v>
      </c>
      <c r="C527" s="4" t="str">
        <f t="shared" si="8"/>
        <v>แพร่|รย.1-นั่ง 2 ตอน</v>
      </c>
      <c r="D527" s="5"/>
    </row>
    <row r="528" spans="1:4" x14ac:dyDescent="0.3">
      <c r="A528" s="4" t="s">
        <v>84</v>
      </c>
      <c r="B528" s="4" t="s">
        <v>27</v>
      </c>
      <c r="C528" s="4" t="str">
        <f t="shared" si="8"/>
        <v>แพร่|รย.1-นั่ง 3 ตอน</v>
      </c>
      <c r="D528" s="5"/>
    </row>
    <row r="529" spans="1:4" x14ac:dyDescent="0.3">
      <c r="A529" s="4" t="s">
        <v>84</v>
      </c>
      <c r="B529" s="4" t="s">
        <v>28</v>
      </c>
      <c r="C529" s="4" t="str">
        <f t="shared" si="8"/>
        <v>แพร่|รย.2-นั่ง 2 แถว</v>
      </c>
      <c r="D529" s="5"/>
    </row>
    <row r="530" spans="1:4" x14ac:dyDescent="0.3">
      <c r="A530" s="4" t="s">
        <v>84</v>
      </c>
      <c r="B530" s="4" t="s">
        <v>29</v>
      </c>
      <c r="C530" s="4" t="str">
        <f t="shared" si="8"/>
        <v>แพร่|รย.2-นั่ง 4 ตอน</v>
      </c>
      <c r="D530" s="5"/>
    </row>
    <row r="531" spans="1:4" x14ac:dyDescent="0.3">
      <c r="A531" s="4" t="s">
        <v>84</v>
      </c>
      <c r="B531" s="4" t="s">
        <v>30</v>
      </c>
      <c r="C531" s="4" t="str">
        <f t="shared" si="8"/>
        <v>แพร่|รย.3-กระบะบรรทุก</v>
      </c>
      <c r="D531" s="5"/>
    </row>
    <row r="532" spans="1:4" x14ac:dyDescent="0.3">
      <c r="A532" s="4" t="s">
        <v>84</v>
      </c>
      <c r="B532" s="4" t="s">
        <v>31</v>
      </c>
      <c r="C532" s="4" t="str">
        <f t="shared" si="8"/>
        <v>แพร่|รย.3-กระบะบรรทุกมีหลังคา</v>
      </c>
      <c r="D532" s="5"/>
    </row>
    <row r="533" spans="1:4" x14ac:dyDescent="0.3">
      <c r="A533" s="4" t="s">
        <v>84</v>
      </c>
      <c r="B533" s="4" t="s">
        <v>32</v>
      </c>
      <c r="C533" s="4" t="str">
        <f t="shared" si="8"/>
        <v>แพร่|รย.3-กระบะบรรทุกมีหลังคาแหนบ</v>
      </c>
      <c r="D533" s="5"/>
    </row>
    <row r="534" spans="1:4" x14ac:dyDescent="0.3">
      <c r="A534" s="4" t="s">
        <v>84</v>
      </c>
      <c r="B534" s="4" t="s">
        <v>33</v>
      </c>
      <c r="C534" s="4" t="str">
        <f t="shared" si="8"/>
        <v>แพร่|รย.3-ตู้บรรทุก</v>
      </c>
      <c r="D534" s="5"/>
    </row>
    <row r="535" spans="1:4" x14ac:dyDescent="0.3">
      <c r="A535" s="4" t="s">
        <v>85</v>
      </c>
      <c r="B535" s="4" t="s">
        <v>19</v>
      </c>
      <c r="C535" s="4" t="str">
        <f t="shared" si="8"/>
        <v>ภูเก็ต|รย.12-น้อยกว่า 300cc</v>
      </c>
      <c r="D535" s="5"/>
    </row>
    <row r="536" spans="1:4" x14ac:dyDescent="0.3">
      <c r="A536" s="4" t="s">
        <v>85</v>
      </c>
      <c r="B536" s="4" t="s">
        <v>21</v>
      </c>
      <c r="C536" s="4" t="str">
        <f t="shared" si="8"/>
        <v>ภูเก็ต|รย.12-300-799cc</v>
      </c>
      <c r="D536" s="5"/>
    </row>
    <row r="537" spans="1:4" x14ac:dyDescent="0.3">
      <c r="A537" s="4" t="s">
        <v>85</v>
      </c>
      <c r="B537" s="4" t="s">
        <v>22</v>
      </c>
      <c r="C537" s="4" t="str">
        <f t="shared" si="8"/>
        <v>ภูเก็ต|รย.12-800-999cc</v>
      </c>
      <c r="D537" s="5"/>
    </row>
    <row r="538" spans="1:4" x14ac:dyDescent="0.3">
      <c r="A538" s="4" t="s">
        <v>85</v>
      </c>
      <c r="B538" s="4" t="s">
        <v>23</v>
      </c>
      <c r="C538" s="4" t="str">
        <f t="shared" si="8"/>
        <v>ภูเก็ต|รย.12-1000cc ขึ้นไป</v>
      </c>
      <c r="D538" s="5"/>
    </row>
    <row r="539" spans="1:4" x14ac:dyDescent="0.3">
      <c r="A539" s="4" t="s">
        <v>85</v>
      </c>
      <c r="B539" s="4" t="s">
        <v>24</v>
      </c>
      <c r="C539" s="4" t="str">
        <f t="shared" si="8"/>
        <v>ภูเก็ต|รย.1-เก๋ง 2 ตอน</v>
      </c>
      <c r="D539" s="5"/>
    </row>
    <row r="540" spans="1:4" x14ac:dyDescent="0.3">
      <c r="A540" s="4" t="s">
        <v>85</v>
      </c>
      <c r="B540" s="4" t="s">
        <v>26</v>
      </c>
      <c r="C540" s="4" t="str">
        <f t="shared" si="8"/>
        <v>ภูเก็ต|รย.1-นั่ง 2 ตอน</v>
      </c>
      <c r="D540" s="5"/>
    </row>
    <row r="541" spans="1:4" x14ac:dyDescent="0.3">
      <c r="A541" s="4" t="s">
        <v>85</v>
      </c>
      <c r="B541" s="4" t="s">
        <v>27</v>
      </c>
      <c r="C541" s="4" t="str">
        <f t="shared" si="8"/>
        <v>ภูเก็ต|รย.1-นั่ง 3 ตอน</v>
      </c>
      <c r="D541" s="5"/>
    </row>
    <row r="542" spans="1:4" x14ac:dyDescent="0.3">
      <c r="A542" s="4" t="s">
        <v>85</v>
      </c>
      <c r="B542" s="4" t="s">
        <v>28</v>
      </c>
      <c r="C542" s="4" t="str">
        <f t="shared" si="8"/>
        <v>ภูเก็ต|รย.2-นั่ง 2 แถว</v>
      </c>
      <c r="D542" s="5"/>
    </row>
    <row r="543" spans="1:4" x14ac:dyDescent="0.3">
      <c r="A543" s="4" t="s">
        <v>85</v>
      </c>
      <c r="B543" s="4" t="s">
        <v>29</v>
      </c>
      <c r="C543" s="4" t="str">
        <f t="shared" si="8"/>
        <v>ภูเก็ต|รย.2-นั่ง 4 ตอน</v>
      </c>
      <c r="D543" s="5"/>
    </row>
    <row r="544" spans="1:4" x14ac:dyDescent="0.3">
      <c r="A544" s="4" t="s">
        <v>85</v>
      </c>
      <c r="B544" s="4" t="s">
        <v>30</v>
      </c>
      <c r="C544" s="4" t="str">
        <f t="shared" si="8"/>
        <v>ภูเก็ต|รย.3-กระบะบรรทุก</v>
      </c>
      <c r="D544" s="5"/>
    </row>
    <row r="545" spans="1:4" x14ac:dyDescent="0.3">
      <c r="A545" s="4" t="s">
        <v>85</v>
      </c>
      <c r="B545" s="4" t="s">
        <v>31</v>
      </c>
      <c r="C545" s="4" t="str">
        <f t="shared" si="8"/>
        <v>ภูเก็ต|รย.3-กระบะบรรทุกมีหลังคา</v>
      </c>
      <c r="D545" s="5"/>
    </row>
    <row r="546" spans="1:4" x14ac:dyDescent="0.3">
      <c r="A546" s="4" t="s">
        <v>85</v>
      </c>
      <c r="B546" s="4" t="s">
        <v>32</v>
      </c>
      <c r="C546" s="4" t="str">
        <f t="shared" si="8"/>
        <v>ภูเก็ต|รย.3-กระบะบรรทุกมีหลังคาแหนบ</v>
      </c>
      <c r="D546" s="5"/>
    </row>
    <row r="547" spans="1:4" x14ac:dyDescent="0.3">
      <c r="A547" s="4" t="s">
        <v>85</v>
      </c>
      <c r="B547" s="4" t="s">
        <v>33</v>
      </c>
      <c r="C547" s="4" t="str">
        <f t="shared" si="8"/>
        <v>ภูเก็ต|รย.3-ตู้บรรทุก</v>
      </c>
      <c r="D547" s="5"/>
    </row>
    <row r="548" spans="1:4" x14ac:dyDescent="0.3">
      <c r="A548" s="4" t="s">
        <v>86</v>
      </c>
      <c r="B548" s="4" t="s">
        <v>19</v>
      </c>
      <c r="C548" s="4" t="str">
        <f t="shared" si="8"/>
        <v>มหาสารคาม|รย.12-น้อยกว่า 300cc</v>
      </c>
      <c r="D548" s="5"/>
    </row>
    <row r="549" spans="1:4" x14ac:dyDescent="0.3">
      <c r="A549" s="4" t="s">
        <v>86</v>
      </c>
      <c r="B549" s="4" t="s">
        <v>21</v>
      </c>
      <c r="C549" s="4" t="str">
        <f t="shared" si="8"/>
        <v>มหาสารคาม|รย.12-300-799cc</v>
      </c>
      <c r="D549" s="5"/>
    </row>
    <row r="550" spans="1:4" x14ac:dyDescent="0.3">
      <c r="A550" s="4" t="s">
        <v>86</v>
      </c>
      <c r="B550" s="4" t="s">
        <v>22</v>
      </c>
      <c r="C550" s="4" t="str">
        <f t="shared" si="8"/>
        <v>มหาสารคาม|รย.12-800-999cc</v>
      </c>
      <c r="D550" s="5"/>
    </row>
    <row r="551" spans="1:4" x14ac:dyDescent="0.3">
      <c r="A551" s="4" t="s">
        <v>86</v>
      </c>
      <c r="B551" s="4" t="s">
        <v>23</v>
      </c>
      <c r="C551" s="4" t="str">
        <f t="shared" si="8"/>
        <v>มหาสารคาม|รย.12-1000cc ขึ้นไป</v>
      </c>
      <c r="D551" s="5"/>
    </row>
    <row r="552" spans="1:4" x14ac:dyDescent="0.3">
      <c r="A552" s="4" t="s">
        <v>86</v>
      </c>
      <c r="B552" s="4" t="s">
        <v>24</v>
      </c>
      <c r="C552" s="4" t="str">
        <f t="shared" si="8"/>
        <v>มหาสารคาม|รย.1-เก๋ง 2 ตอน</v>
      </c>
      <c r="D552" s="5"/>
    </row>
    <row r="553" spans="1:4" x14ac:dyDescent="0.3">
      <c r="A553" s="4" t="s">
        <v>86</v>
      </c>
      <c r="B553" s="4" t="s">
        <v>26</v>
      </c>
      <c r="C553" s="4" t="str">
        <f t="shared" si="8"/>
        <v>มหาสารคาม|รย.1-นั่ง 2 ตอน</v>
      </c>
      <c r="D553" s="5"/>
    </row>
    <row r="554" spans="1:4" x14ac:dyDescent="0.3">
      <c r="A554" s="4" t="s">
        <v>86</v>
      </c>
      <c r="B554" s="4" t="s">
        <v>27</v>
      </c>
      <c r="C554" s="4" t="str">
        <f t="shared" si="8"/>
        <v>มหาสารคาม|รย.1-นั่ง 3 ตอน</v>
      </c>
      <c r="D554" s="5"/>
    </row>
    <row r="555" spans="1:4" x14ac:dyDescent="0.3">
      <c r="A555" s="4" t="s">
        <v>86</v>
      </c>
      <c r="B555" s="4" t="s">
        <v>28</v>
      </c>
      <c r="C555" s="4" t="str">
        <f t="shared" si="8"/>
        <v>มหาสารคาม|รย.2-นั่ง 2 แถว</v>
      </c>
      <c r="D555" s="5"/>
    </row>
    <row r="556" spans="1:4" x14ac:dyDescent="0.3">
      <c r="A556" s="4" t="s">
        <v>86</v>
      </c>
      <c r="B556" s="4" t="s">
        <v>29</v>
      </c>
      <c r="C556" s="4" t="str">
        <f t="shared" si="8"/>
        <v>มหาสารคาม|รย.2-นั่ง 4 ตอน</v>
      </c>
      <c r="D556" s="5"/>
    </row>
    <row r="557" spans="1:4" x14ac:dyDescent="0.3">
      <c r="A557" s="4" t="s">
        <v>86</v>
      </c>
      <c r="B557" s="4" t="s">
        <v>30</v>
      </c>
      <c r="C557" s="4" t="str">
        <f t="shared" si="8"/>
        <v>มหาสารคาม|รย.3-กระบะบรรทุก</v>
      </c>
      <c r="D557" s="5"/>
    </row>
    <row r="558" spans="1:4" x14ac:dyDescent="0.3">
      <c r="A558" s="4" t="s">
        <v>86</v>
      </c>
      <c r="B558" s="4" t="s">
        <v>31</v>
      </c>
      <c r="C558" s="4" t="str">
        <f t="shared" si="8"/>
        <v>มหาสารคาม|รย.3-กระบะบรรทุกมีหลังคา</v>
      </c>
      <c r="D558" s="5"/>
    </row>
    <row r="559" spans="1:4" x14ac:dyDescent="0.3">
      <c r="A559" s="4" t="s">
        <v>86</v>
      </c>
      <c r="B559" s="4" t="s">
        <v>32</v>
      </c>
      <c r="C559" s="4" t="str">
        <f t="shared" si="8"/>
        <v>มหาสารคาม|รย.3-กระบะบรรทุกมีหลังคาแหนบ</v>
      </c>
      <c r="D559" s="5"/>
    </row>
    <row r="560" spans="1:4" x14ac:dyDescent="0.3">
      <c r="A560" s="4" t="s">
        <v>86</v>
      </c>
      <c r="B560" s="4" t="s">
        <v>33</v>
      </c>
      <c r="C560" s="4" t="str">
        <f t="shared" si="8"/>
        <v>มหาสารคาม|รย.3-ตู้บรรทุก</v>
      </c>
      <c r="D560" s="5"/>
    </row>
    <row r="561" spans="1:4" x14ac:dyDescent="0.3">
      <c r="A561" s="4" t="s">
        <v>87</v>
      </c>
      <c r="B561" s="4" t="s">
        <v>19</v>
      </c>
      <c r="C561" s="4" t="str">
        <f t="shared" si="8"/>
        <v>มุกดาหาร|รย.12-น้อยกว่า 300cc</v>
      </c>
      <c r="D561" s="5"/>
    </row>
    <row r="562" spans="1:4" x14ac:dyDescent="0.3">
      <c r="A562" s="4" t="s">
        <v>87</v>
      </c>
      <c r="B562" s="4" t="s">
        <v>21</v>
      </c>
      <c r="C562" s="4" t="str">
        <f t="shared" si="8"/>
        <v>มุกดาหาร|รย.12-300-799cc</v>
      </c>
      <c r="D562" s="5"/>
    </row>
    <row r="563" spans="1:4" x14ac:dyDescent="0.3">
      <c r="A563" s="4" t="s">
        <v>87</v>
      </c>
      <c r="B563" s="4" t="s">
        <v>22</v>
      </c>
      <c r="C563" s="4" t="str">
        <f t="shared" si="8"/>
        <v>มุกดาหาร|รย.12-800-999cc</v>
      </c>
      <c r="D563" s="5"/>
    </row>
    <row r="564" spans="1:4" x14ac:dyDescent="0.3">
      <c r="A564" s="4" t="s">
        <v>87</v>
      </c>
      <c r="B564" s="4" t="s">
        <v>23</v>
      </c>
      <c r="C564" s="4" t="str">
        <f t="shared" si="8"/>
        <v>มุกดาหาร|รย.12-1000cc ขึ้นไป</v>
      </c>
      <c r="D564" s="5"/>
    </row>
    <row r="565" spans="1:4" x14ac:dyDescent="0.3">
      <c r="A565" s="4" t="s">
        <v>87</v>
      </c>
      <c r="B565" s="4" t="s">
        <v>24</v>
      </c>
      <c r="C565" s="4" t="str">
        <f t="shared" si="8"/>
        <v>มุกดาหาร|รย.1-เก๋ง 2 ตอน</v>
      </c>
      <c r="D565" s="5"/>
    </row>
    <row r="566" spans="1:4" x14ac:dyDescent="0.3">
      <c r="A566" s="4" t="s">
        <v>87</v>
      </c>
      <c r="B566" s="4" t="s">
        <v>26</v>
      </c>
      <c r="C566" s="4" t="str">
        <f t="shared" si="8"/>
        <v>มุกดาหาร|รย.1-นั่ง 2 ตอน</v>
      </c>
      <c r="D566" s="5"/>
    </row>
    <row r="567" spans="1:4" x14ac:dyDescent="0.3">
      <c r="A567" s="4" t="s">
        <v>87</v>
      </c>
      <c r="B567" s="4" t="s">
        <v>27</v>
      </c>
      <c r="C567" s="4" t="str">
        <f t="shared" si="8"/>
        <v>มุกดาหาร|รย.1-นั่ง 3 ตอน</v>
      </c>
      <c r="D567" s="5"/>
    </row>
    <row r="568" spans="1:4" x14ac:dyDescent="0.3">
      <c r="A568" s="4" t="s">
        <v>87</v>
      </c>
      <c r="B568" s="4" t="s">
        <v>28</v>
      </c>
      <c r="C568" s="4" t="str">
        <f t="shared" si="8"/>
        <v>มุกดาหาร|รย.2-นั่ง 2 แถว</v>
      </c>
      <c r="D568" s="5"/>
    </row>
    <row r="569" spans="1:4" x14ac:dyDescent="0.3">
      <c r="A569" s="4" t="s">
        <v>87</v>
      </c>
      <c r="B569" s="4" t="s">
        <v>29</v>
      </c>
      <c r="C569" s="4" t="str">
        <f t="shared" si="8"/>
        <v>มุกดาหาร|รย.2-นั่ง 4 ตอน</v>
      </c>
      <c r="D569" s="5"/>
    </row>
    <row r="570" spans="1:4" x14ac:dyDescent="0.3">
      <c r="A570" s="4" t="s">
        <v>87</v>
      </c>
      <c r="B570" s="4" t="s">
        <v>30</v>
      </c>
      <c r="C570" s="4" t="str">
        <f t="shared" si="8"/>
        <v>มุกดาหาร|รย.3-กระบะบรรทุก</v>
      </c>
      <c r="D570" s="5"/>
    </row>
    <row r="571" spans="1:4" x14ac:dyDescent="0.3">
      <c r="A571" s="4" t="s">
        <v>87</v>
      </c>
      <c r="B571" s="4" t="s">
        <v>31</v>
      </c>
      <c r="C571" s="4" t="str">
        <f t="shared" si="8"/>
        <v>มุกดาหาร|รย.3-กระบะบรรทุกมีหลังคา</v>
      </c>
      <c r="D571" s="5"/>
    </row>
    <row r="572" spans="1:4" x14ac:dyDescent="0.3">
      <c r="A572" s="4" t="s">
        <v>87</v>
      </c>
      <c r="B572" s="4" t="s">
        <v>32</v>
      </c>
      <c r="C572" s="4" t="str">
        <f t="shared" si="8"/>
        <v>มุกดาหาร|รย.3-กระบะบรรทุกมีหลังคาแหนบ</v>
      </c>
      <c r="D572" s="5"/>
    </row>
    <row r="573" spans="1:4" x14ac:dyDescent="0.3">
      <c r="A573" s="4" t="s">
        <v>87</v>
      </c>
      <c r="B573" s="4" t="s">
        <v>33</v>
      </c>
      <c r="C573" s="4" t="str">
        <f t="shared" si="8"/>
        <v>มุกดาหาร|รย.3-ตู้บรรทุก</v>
      </c>
      <c r="D573" s="5"/>
    </row>
    <row r="574" spans="1:4" x14ac:dyDescent="0.3">
      <c r="A574" s="4" t="s">
        <v>88</v>
      </c>
      <c r="B574" s="4" t="s">
        <v>19</v>
      </c>
      <c r="C574" s="4" t="str">
        <f t="shared" si="8"/>
        <v>แม่ฮ่องสอน|รย.12-น้อยกว่า 300cc</v>
      </c>
      <c r="D574" s="5"/>
    </row>
    <row r="575" spans="1:4" x14ac:dyDescent="0.3">
      <c r="A575" s="4" t="s">
        <v>88</v>
      </c>
      <c r="B575" s="4" t="s">
        <v>21</v>
      </c>
      <c r="C575" s="4" t="str">
        <f t="shared" si="8"/>
        <v>แม่ฮ่องสอน|รย.12-300-799cc</v>
      </c>
      <c r="D575" s="5"/>
    </row>
    <row r="576" spans="1:4" x14ac:dyDescent="0.3">
      <c r="A576" s="4" t="s">
        <v>88</v>
      </c>
      <c r="B576" s="4" t="s">
        <v>22</v>
      </c>
      <c r="C576" s="4" t="str">
        <f t="shared" si="8"/>
        <v>แม่ฮ่องสอน|รย.12-800-999cc</v>
      </c>
      <c r="D576" s="5"/>
    </row>
    <row r="577" spans="1:4" x14ac:dyDescent="0.3">
      <c r="A577" s="4" t="s">
        <v>88</v>
      </c>
      <c r="B577" s="4" t="s">
        <v>23</v>
      </c>
      <c r="C577" s="4" t="str">
        <f t="shared" si="8"/>
        <v>แม่ฮ่องสอน|รย.12-1000cc ขึ้นไป</v>
      </c>
      <c r="D577" s="5"/>
    </row>
    <row r="578" spans="1:4" x14ac:dyDescent="0.3">
      <c r="A578" s="4" t="s">
        <v>88</v>
      </c>
      <c r="B578" s="4" t="s">
        <v>24</v>
      </c>
      <c r="C578" s="4" t="str">
        <f t="shared" ref="C578:C641" si="9">A578&amp;"|"&amp;B578</f>
        <v>แม่ฮ่องสอน|รย.1-เก๋ง 2 ตอน</v>
      </c>
      <c r="D578" s="5"/>
    </row>
    <row r="579" spans="1:4" x14ac:dyDescent="0.3">
      <c r="A579" s="4" t="s">
        <v>88</v>
      </c>
      <c r="B579" s="4" t="s">
        <v>26</v>
      </c>
      <c r="C579" s="4" t="str">
        <f t="shared" si="9"/>
        <v>แม่ฮ่องสอน|รย.1-นั่ง 2 ตอน</v>
      </c>
      <c r="D579" s="5"/>
    </row>
    <row r="580" spans="1:4" x14ac:dyDescent="0.3">
      <c r="A580" s="4" t="s">
        <v>88</v>
      </c>
      <c r="B580" s="4" t="s">
        <v>27</v>
      </c>
      <c r="C580" s="4" t="str">
        <f t="shared" si="9"/>
        <v>แม่ฮ่องสอน|รย.1-นั่ง 3 ตอน</v>
      </c>
      <c r="D580" s="5"/>
    </row>
    <row r="581" spans="1:4" x14ac:dyDescent="0.3">
      <c r="A581" s="4" t="s">
        <v>88</v>
      </c>
      <c r="B581" s="4" t="s">
        <v>28</v>
      </c>
      <c r="C581" s="4" t="str">
        <f t="shared" si="9"/>
        <v>แม่ฮ่องสอน|รย.2-นั่ง 2 แถว</v>
      </c>
      <c r="D581" s="5"/>
    </row>
    <row r="582" spans="1:4" x14ac:dyDescent="0.3">
      <c r="A582" s="4" t="s">
        <v>88</v>
      </c>
      <c r="B582" s="4" t="s">
        <v>29</v>
      </c>
      <c r="C582" s="4" t="str">
        <f t="shared" si="9"/>
        <v>แม่ฮ่องสอน|รย.2-นั่ง 4 ตอน</v>
      </c>
      <c r="D582" s="5"/>
    </row>
    <row r="583" spans="1:4" x14ac:dyDescent="0.3">
      <c r="A583" s="4" t="s">
        <v>88</v>
      </c>
      <c r="B583" s="4" t="s">
        <v>30</v>
      </c>
      <c r="C583" s="4" t="str">
        <f t="shared" si="9"/>
        <v>แม่ฮ่องสอน|รย.3-กระบะบรรทุก</v>
      </c>
      <c r="D583" s="5"/>
    </row>
    <row r="584" spans="1:4" x14ac:dyDescent="0.3">
      <c r="A584" s="4" t="s">
        <v>88</v>
      </c>
      <c r="B584" s="4" t="s">
        <v>31</v>
      </c>
      <c r="C584" s="4" t="str">
        <f t="shared" si="9"/>
        <v>แม่ฮ่องสอน|รย.3-กระบะบรรทุกมีหลังคา</v>
      </c>
      <c r="D584" s="5"/>
    </row>
    <row r="585" spans="1:4" x14ac:dyDescent="0.3">
      <c r="A585" s="4" t="s">
        <v>88</v>
      </c>
      <c r="B585" s="4" t="s">
        <v>32</v>
      </c>
      <c r="C585" s="4" t="str">
        <f t="shared" si="9"/>
        <v>แม่ฮ่องสอน|รย.3-กระบะบรรทุกมีหลังคาแหนบ</v>
      </c>
      <c r="D585" s="5"/>
    </row>
    <row r="586" spans="1:4" x14ac:dyDescent="0.3">
      <c r="A586" s="4" t="s">
        <v>88</v>
      </c>
      <c r="B586" s="4" t="s">
        <v>33</v>
      </c>
      <c r="C586" s="4" t="str">
        <f t="shared" si="9"/>
        <v>แม่ฮ่องสอน|รย.3-ตู้บรรทุก</v>
      </c>
      <c r="D586" s="5"/>
    </row>
    <row r="587" spans="1:4" x14ac:dyDescent="0.3">
      <c r="A587" s="4" t="s">
        <v>89</v>
      </c>
      <c r="B587" s="4" t="s">
        <v>19</v>
      </c>
      <c r="C587" s="4" t="str">
        <f t="shared" si="9"/>
        <v>ยโสธร|รย.12-น้อยกว่า 300cc</v>
      </c>
      <c r="D587" s="5"/>
    </row>
    <row r="588" spans="1:4" x14ac:dyDescent="0.3">
      <c r="A588" s="4" t="s">
        <v>89</v>
      </c>
      <c r="B588" s="4" t="s">
        <v>21</v>
      </c>
      <c r="C588" s="4" t="str">
        <f t="shared" si="9"/>
        <v>ยโสธร|รย.12-300-799cc</v>
      </c>
      <c r="D588" s="5"/>
    </row>
    <row r="589" spans="1:4" x14ac:dyDescent="0.3">
      <c r="A589" s="4" t="s">
        <v>89</v>
      </c>
      <c r="B589" s="4" t="s">
        <v>22</v>
      </c>
      <c r="C589" s="4" t="str">
        <f t="shared" si="9"/>
        <v>ยโสธร|รย.12-800-999cc</v>
      </c>
      <c r="D589" s="5"/>
    </row>
    <row r="590" spans="1:4" x14ac:dyDescent="0.3">
      <c r="A590" s="4" t="s">
        <v>89</v>
      </c>
      <c r="B590" s="4" t="s">
        <v>23</v>
      </c>
      <c r="C590" s="4" t="str">
        <f t="shared" si="9"/>
        <v>ยโสธร|รย.12-1000cc ขึ้นไป</v>
      </c>
      <c r="D590" s="5"/>
    </row>
    <row r="591" spans="1:4" x14ac:dyDescent="0.3">
      <c r="A591" s="4" t="s">
        <v>89</v>
      </c>
      <c r="B591" s="4" t="s">
        <v>24</v>
      </c>
      <c r="C591" s="4" t="str">
        <f t="shared" si="9"/>
        <v>ยโสธร|รย.1-เก๋ง 2 ตอน</v>
      </c>
      <c r="D591" s="5"/>
    </row>
    <row r="592" spans="1:4" x14ac:dyDescent="0.3">
      <c r="A592" s="4" t="s">
        <v>89</v>
      </c>
      <c r="B592" s="4" t="s">
        <v>26</v>
      </c>
      <c r="C592" s="4" t="str">
        <f t="shared" si="9"/>
        <v>ยโสธร|รย.1-นั่ง 2 ตอน</v>
      </c>
      <c r="D592" s="5"/>
    </row>
    <row r="593" spans="1:4" x14ac:dyDescent="0.3">
      <c r="A593" s="4" t="s">
        <v>89</v>
      </c>
      <c r="B593" s="4" t="s">
        <v>27</v>
      </c>
      <c r="C593" s="4" t="str">
        <f t="shared" si="9"/>
        <v>ยโสธร|รย.1-นั่ง 3 ตอน</v>
      </c>
      <c r="D593" s="5"/>
    </row>
    <row r="594" spans="1:4" x14ac:dyDescent="0.3">
      <c r="A594" s="4" t="s">
        <v>89</v>
      </c>
      <c r="B594" s="4" t="s">
        <v>28</v>
      </c>
      <c r="C594" s="4" t="str">
        <f t="shared" si="9"/>
        <v>ยโสธร|รย.2-นั่ง 2 แถว</v>
      </c>
      <c r="D594" s="5"/>
    </row>
    <row r="595" spans="1:4" x14ac:dyDescent="0.3">
      <c r="A595" s="4" t="s">
        <v>89</v>
      </c>
      <c r="B595" s="4" t="s">
        <v>29</v>
      </c>
      <c r="C595" s="4" t="str">
        <f t="shared" si="9"/>
        <v>ยโสธร|รย.2-นั่ง 4 ตอน</v>
      </c>
      <c r="D595" s="5"/>
    </row>
    <row r="596" spans="1:4" x14ac:dyDescent="0.3">
      <c r="A596" s="4" t="s">
        <v>89</v>
      </c>
      <c r="B596" s="4" t="s">
        <v>30</v>
      </c>
      <c r="C596" s="4" t="str">
        <f t="shared" si="9"/>
        <v>ยโสธร|รย.3-กระบะบรรทุก</v>
      </c>
      <c r="D596" s="5"/>
    </row>
    <row r="597" spans="1:4" x14ac:dyDescent="0.3">
      <c r="A597" s="4" t="s">
        <v>89</v>
      </c>
      <c r="B597" s="4" t="s">
        <v>31</v>
      </c>
      <c r="C597" s="4" t="str">
        <f t="shared" si="9"/>
        <v>ยโสธร|รย.3-กระบะบรรทุกมีหลังคา</v>
      </c>
      <c r="D597" s="5"/>
    </row>
    <row r="598" spans="1:4" x14ac:dyDescent="0.3">
      <c r="A598" s="4" t="s">
        <v>89</v>
      </c>
      <c r="B598" s="4" t="s">
        <v>32</v>
      </c>
      <c r="C598" s="4" t="str">
        <f t="shared" si="9"/>
        <v>ยโสธร|รย.3-กระบะบรรทุกมีหลังคาแหนบ</v>
      </c>
      <c r="D598" s="5"/>
    </row>
    <row r="599" spans="1:4" x14ac:dyDescent="0.3">
      <c r="A599" s="4" t="s">
        <v>89</v>
      </c>
      <c r="B599" s="4" t="s">
        <v>33</v>
      </c>
      <c r="C599" s="4" t="str">
        <f t="shared" si="9"/>
        <v>ยโสธร|รย.3-ตู้บรรทุก</v>
      </c>
      <c r="D599" s="5"/>
    </row>
    <row r="600" spans="1:4" x14ac:dyDescent="0.3">
      <c r="A600" s="4" t="s">
        <v>90</v>
      </c>
      <c r="B600" s="4" t="s">
        <v>19</v>
      </c>
      <c r="C600" s="4" t="str">
        <f t="shared" si="9"/>
        <v>ยะลา|รย.12-น้อยกว่า 300cc</v>
      </c>
      <c r="D600" s="5"/>
    </row>
    <row r="601" spans="1:4" x14ac:dyDescent="0.3">
      <c r="A601" s="4" t="s">
        <v>90</v>
      </c>
      <c r="B601" s="4" t="s">
        <v>21</v>
      </c>
      <c r="C601" s="4" t="str">
        <f t="shared" si="9"/>
        <v>ยะลา|รย.12-300-799cc</v>
      </c>
      <c r="D601" s="5"/>
    </row>
    <row r="602" spans="1:4" x14ac:dyDescent="0.3">
      <c r="A602" s="4" t="s">
        <v>90</v>
      </c>
      <c r="B602" s="4" t="s">
        <v>22</v>
      </c>
      <c r="C602" s="4" t="str">
        <f t="shared" si="9"/>
        <v>ยะลา|รย.12-800-999cc</v>
      </c>
      <c r="D602" s="5"/>
    </row>
    <row r="603" spans="1:4" x14ac:dyDescent="0.3">
      <c r="A603" s="4" t="s">
        <v>90</v>
      </c>
      <c r="B603" s="4" t="s">
        <v>23</v>
      </c>
      <c r="C603" s="4" t="str">
        <f t="shared" si="9"/>
        <v>ยะลา|รย.12-1000cc ขึ้นไป</v>
      </c>
      <c r="D603" s="5"/>
    </row>
    <row r="604" spans="1:4" x14ac:dyDescent="0.3">
      <c r="A604" s="4" t="s">
        <v>90</v>
      </c>
      <c r="B604" s="4" t="s">
        <v>24</v>
      </c>
      <c r="C604" s="4" t="str">
        <f t="shared" si="9"/>
        <v>ยะลา|รย.1-เก๋ง 2 ตอน</v>
      </c>
      <c r="D604" s="5"/>
    </row>
    <row r="605" spans="1:4" x14ac:dyDescent="0.3">
      <c r="A605" s="4" t="s">
        <v>90</v>
      </c>
      <c r="B605" s="4" t="s">
        <v>26</v>
      </c>
      <c r="C605" s="4" t="str">
        <f t="shared" si="9"/>
        <v>ยะลา|รย.1-นั่ง 2 ตอน</v>
      </c>
      <c r="D605" s="5"/>
    </row>
    <row r="606" spans="1:4" x14ac:dyDescent="0.3">
      <c r="A606" s="4" t="s">
        <v>90</v>
      </c>
      <c r="B606" s="4" t="s">
        <v>27</v>
      </c>
      <c r="C606" s="4" t="str">
        <f t="shared" si="9"/>
        <v>ยะลา|รย.1-นั่ง 3 ตอน</v>
      </c>
      <c r="D606" s="5"/>
    </row>
    <row r="607" spans="1:4" x14ac:dyDescent="0.3">
      <c r="A607" s="4" t="s">
        <v>90</v>
      </c>
      <c r="B607" s="4" t="s">
        <v>28</v>
      </c>
      <c r="C607" s="4" t="str">
        <f t="shared" si="9"/>
        <v>ยะลา|รย.2-นั่ง 2 แถว</v>
      </c>
      <c r="D607" s="5"/>
    </row>
    <row r="608" spans="1:4" x14ac:dyDescent="0.3">
      <c r="A608" s="4" t="s">
        <v>90</v>
      </c>
      <c r="B608" s="4" t="s">
        <v>29</v>
      </c>
      <c r="C608" s="4" t="str">
        <f t="shared" si="9"/>
        <v>ยะลา|รย.2-นั่ง 4 ตอน</v>
      </c>
      <c r="D608" s="5"/>
    </row>
    <row r="609" spans="1:4" x14ac:dyDescent="0.3">
      <c r="A609" s="4" t="s">
        <v>90</v>
      </c>
      <c r="B609" s="4" t="s">
        <v>30</v>
      </c>
      <c r="C609" s="4" t="str">
        <f t="shared" si="9"/>
        <v>ยะลา|รย.3-กระบะบรรทุก</v>
      </c>
      <c r="D609" s="5"/>
    </row>
    <row r="610" spans="1:4" x14ac:dyDescent="0.3">
      <c r="A610" s="4" t="s">
        <v>90</v>
      </c>
      <c r="B610" s="4" t="s">
        <v>31</v>
      </c>
      <c r="C610" s="4" t="str">
        <f t="shared" si="9"/>
        <v>ยะลา|รย.3-กระบะบรรทุกมีหลังคา</v>
      </c>
      <c r="D610" s="5"/>
    </row>
    <row r="611" spans="1:4" x14ac:dyDescent="0.3">
      <c r="A611" s="4" t="s">
        <v>90</v>
      </c>
      <c r="B611" s="4" t="s">
        <v>32</v>
      </c>
      <c r="C611" s="4" t="str">
        <f t="shared" si="9"/>
        <v>ยะลา|รย.3-กระบะบรรทุกมีหลังคาแหนบ</v>
      </c>
      <c r="D611" s="5"/>
    </row>
    <row r="612" spans="1:4" x14ac:dyDescent="0.3">
      <c r="A612" s="4" t="s">
        <v>90</v>
      </c>
      <c r="B612" s="4" t="s">
        <v>33</v>
      </c>
      <c r="C612" s="4" t="str">
        <f t="shared" si="9"/>
        <v>ยะลา|รย.3-ตู้บรรทุก</v>
      </c>
      <c r="D612" s="5"/>
    </row>
    <row r="613" spans="1:4" x14ac:dyDescent="0.3">
      <c r="A613" s="4" t="s">
        <v>91</v>
      </c>
      <c r="B613" s="4" t="s">
        <v>19</v>
      </c>
      <c r="C613" s="4" t="str">
        <f t="shared" si="9"/>
        <v>ร้อยเอ็ด|รย.12-น้อยกว่า 300cc</v>
      </c>
      <c r="D613" s="5"/>
    </row>
    <row r="614" spans="1:4" x14ac:dyDescent="0.3">
      <c r="A614" s="4" t="s">
        <v>91</v>
      </c>
      <c r="B614" s="4" t="s">
        <v>21</v>
      </c>
      <c r="C614" s="4" t="str">
        <f t="shared" si="9"/>
        <v>ร้อยเอ็ด|รย.12-300-799cc</v>
      </c>
      <c r="D614" s="5"/>
    </row>
    <row r="615" spans="1:4" x14ac:dyDescent="0.3">
      <c r="A615" s="4" t="s">
        <v>91</v>
      </c>
      <c r="B615" s="4" t="s">
        <v>22</v>
      </c>
      <c r="C615" s="4" t="str">
        <f t="shared" si="9"/>
        <v>ร้อยเอ็ด|รย.12-800-999cc</v>
      </c>
      <c r="D615" s="5"/>
    </row>
    <row r="616" spans="1:4" x14ac:dyDescent="0.3">
      <c r="A616" s="4" t="s">
        <v>91</v>
      </c>
      <c r="B616" s="4" t="s">
        <v>23</v>
      </c>
      <c r="C616" s="4" t="str">
        <f t="shared" si="9"/>
        <v>ร้อยเอ็ด|รย.12-1000cc ขึ้นไป</v>
      </c>
      <c r="D616" s="5"/>
    </row>
    <row r="617" spans="1:4" x14ac:dyDescent="0.3">
      <c r="A617" s="4" t="s">
        <v>91</v>
      </c>
      <c r="B617" s="4" t="s">
        <v>24</v>
      </c>
      <c r="C617" s="4" t="str">
        <f t="shared" si="9"/>
        <v>ร้อยเอ็ด|รย.1-เก๋ง 2 ตอน</v>
      </c>
      <c r="D617" s="5"/>
    </row>
    <row r="618" spans="1:4" x14ac:dyDescent="0.3">
      <c r="A618" s="4" t="s">
        <v>91</v>
      </c>
      <c r="B618" s="4" t="s">
        <v>26</v>
      </c>
      <c r="C618" s="4" t="str">
        <f t="shared" si="9"/>
        <v>ร้อยเอ็ด|รย.1-นั่ง 2 ตอน</v>
      </c>
      <c r="D618" s="5"/>
    </row>
    <row r="619" spans="1:4" x14ac:dyDescent="0.3">
      <c r="A619" s="4" t="s">
        <v>91</v>
      </c>
      <c r="B619" s="4" t="s">
        <v>27</v>
      </c>
      <c r="C619" s="4" t="str">
        <f t="shared" si="9"/>
        <v>ร้อยเอ็ด|รย.1-นั่ง 3 ตอน</v>
      </c>
      <c r="D619" s="5"/>
    </row>
    <row r="620" spans="1:4" x14ac:dyDescent="0.3">
      <c r="A620" s="4" t="s">
        <v>91</v>
      </c>
      <c r="B620" s="4" t="s">
        <v>28</v>
      </c>
      <c r="C620" s="4" t="str">
        <f t="shared" si="9"/>
        <v>ร้อยเอ็ด|รย.2-นั่ง 2 แถว</v>
      </c>
      <c r="D620" s="5"/>
    </row>
    <row r="621" spans="1:4" x14ac:dyDescent="0.3">
      <c r="A621" s="4" t="s">
        <v>91</v>
      </c>
      <c r="B621" s="4" t="s">
        <v>29</v>
      </c>
      <c r="C621" s="4" t="str">
        <f t="shared" si="9"/>
        <v>ร้อยเอ็ด|รย.2-นั่ง 4 ตอน</v>
      </c>
      <c r="D621" s="5"/>
    </row>
    <row r="622" spans="1:4" x14ac:dyDescent="0.3">
      <c r="A622" s="4" t="s">
        <v>91</v>
      </c>
      <c r="B622" s="4" t="s">
        <v>30</v>
      </c>
      <c r="C622" s="4" t="str">
        <f t="shared" si="9"/>
        <v>ร้อยเอ็ด|รย.3-กระบะบรรทุก</v>
      </c>
      <c r="D622" s="5"/>
    </row>
    <row r="623" spans="1:4" x14ac:dyDescent="0.3">
      <c r="A623" s="4" t="s">
        <v>91</v>
      </c>
      <c r="B623" s="4" t="s">
        <v>31</v>
      </c>
      <c r="C623" s="4" t="str">
        <f t="shared" si="9"/>
        <v>ร้อยเอ็ด|รย.3-กระบะบรรทุกมีหลังคา</v>
      </c>
      <c r="D623" s="5"/>
    </row>
    <row r="624" spans="1:4" x14ac:dyDescent="0.3">
      <c r="A624" s="4" t="s">
        <v>91</v>
      </c>
      <c r="B624" s="4" t="s">
        <v>32</v>
      </c>
      <c r="C624" s="4" t="str">
        <f t="shared" si="9"/>
        <v>ร้อยเอ็ด|รย.3-กระบะบรรทุกมีหลังคาแหนบ</v>
      </c>
      <c r="D624" s="5"/>
    </row>
    <row r="625" spans="1:4" x14ac:dyDescent="0.3">
      <c r="A625" s="4" t="s">
        <v>91</v>
      </c>
      <c r="B625" s="4" t="s">
        <v>33</v>
      </c>
      <c r="C625" s="4" t="str">
        <f t="shared" si="9"/>
        <v>ร้อยเอ็ด|รย.3-ตู้บรรทุก</v>
      </c>
      <c r="D625" s="5"/>
    </row>
    <row r="626" spans="1:4" x14ac:dyDescent="0.3">
      <c r="A626" s="4" t="s">
        <v>92</v>
      </c>
      <c r="B626" s="4" t="s">
        <v>19</v>
      </c>
      <c r="C626" s="4" t="str">
        <f t="shared" si="9"/>
        <v>ระนอง|รย.12-น้อยกว่า 300cc</v>
      </c>
      <c r="D626" s="5"/>
    </row>
    <row r="627" spans="1:4" x14ac:dyDescent="0.3">
      <c r="A627" s="4" t="s">
        <v>92</v>
      </c>
      <c r="B627" s="4" t="s">
        <v>21</v>
      </c>
      <c r="C627" s="4" t="str">
        <f t="shared" si="9"/>
        <v>ระนอง|รย.12-300-799cc</v>
      </c>
      <c r="D627" s="5"/>
    </row>
    <row r="628" spans="1:4" x14ac:dyDescent="0.3">
      <c r="A628" s="4" t="s">
        <v>92</v>
      </c>
      <c r="B628" s="4" t="s">
        <v>22</v>
      </c>
      <c r="C628" s="4" t="str">
        <f t="shared" si="9"/>
        <v>ระนอง|รย.12-800-999cc</v>
      </c>
      <c r="D628" s="5"/>
    </row>
    <row r="629" spans="1:4" x14ac:dyDescent="0.3">
      <c r="A629" s="4" t="s">
        <v>92</v>
      </c>
      <c r="B629" s="4" t="s">
        <v>23</v>
      </c>
      <c r="C629" s="4" t="str">
        <f t="shared" si="9"/>
        <v>ระนอง|รย.12-1000cc ขึ้นไป</v>
      </c>
      <c r="D629" s="5"/>
    </row>
    <row r="630" spans="1:4" x14ac:dyDescent="0.3">
      <c r="A630" s="4" t="s">
        <v>92</v>
      </c>
      <c r="B630" s="4" t="s">
        <v>24</v>
      </c>
      <c r="C630" s="4" t="str">
        <f t="shared" si="9"/>
        <v>ระนอง|รย.1-เก๋ง 2 ตอน</v>
      </c>
      <c r="D630" s="5"/>
    </row>
    <row r="631" spans="1:4" x14ac:dyDescent="0.3">
      <c r="A631" s="4" t="s">
        <v>92</v>
      </c>
      <c r="B631" s="4" t="s">
        <v>26</v>
      </c>
      <c r="C631" s="4" t="str">
        <f t="shared" si="9"/>
        <v>ระนอง|รย.1-นั่ง 2 ตอน</v>
      </c>
      <c r="D631" s="5"/>
    </row>
    <row r="632" spans="1:4" x14ac:dyDescent="0.3">
      <c r="A632" s="4" t="s">
        <v>92</v>
      </c>
      <c r="B632" s="4" t="s">
        <v>27</v>
      </c>
      <c r="C632" s="4" t="str">
        <f t="shared" si="9"/>
        <v>ระนอง|รย.1-นั่ง 3 ตอน</v>
      </c>
      <c r="D632" s="5"/>
    </row>
    <row r="633" spans="1:4" x14ac:dyDescent="0.3">
      <c r="A633" s="4" t="s">
        <v>92</v>
      </c>
      <c r="B633" s="4" t="s">
        <v>28</v>
      </c>
      <c r="C633" s="4" t="str">
        <f t="shared" si="9"/>
        <v>ระนอง|รย.2-นั่ง 2 แถว</v>
      </c>
      <c r="D633" s="5"/>
    </row>
    <row r="634" spans="1:4" x14ac:dyDescent="0.3">
      <c r="A634" s="4" t="s">
        <v>92</v>
      </c>
      <c r="B634" s="4" t="s">
        <v>29</v>
      </c>
      <c r="C634" s="4" t="str">
        <f t="shared" si="9"/>
        <v>ระนอง|รย.2-นั่ง 4 ตอน</v>
      </c>
      <c r="D634" s="5"/>
    </row>
    <row r="635" spans="1:4" x14ac:dyDescent="0.3">
      <c r="A635" s="4" t="s">
        <v>92</v>
      </c>
      <c r="B635" s="4" t="s">
        <v>30</v>
      </c>
      <c r="C635" s="4" t="str">
        <f t="shared" si="9"/>
        <v>ระนอง|รย.3-กระบะบรรทุก</v>
      </c>
      <c r="D635" s="5"/>
    </row>
    <row r="636" spans="1:4" x14ac:dyDescent="0.3">
      <c r="A636" s="4" t="s">
        <v>92</v>
      </c>
      <c r="B636" s="4" t="s">
        <v>31</v>
      </c>
      <c r="C636" s="4" t="str">
        <f t="shared" si="9"/>
        <v>ระนอง|รย.3-กระบะบรรทุกมีหลังคา</v>
      </c>
      <c r="D636" s="5"/>
    </row>
    <row r="637" spans="1:4" x14ac:dyDescent="0.3">
      <c r="A637" s="4" t="s">
        <v>92</v>
      </c>
      <c r="B637" s="4" t="s">
        <v>32</v>
      </c>
      <c r="C637" s="4" t="str">
        <f t="shared" si="9"/>
        <v>ระนอง|รย.3-กระบะบรรทุกมีหลังคาแหนบ</v>
      </c>
      <c r="D637" s="5"/>
    </row>
    <row r="638" spans="1:4" x14ac:dyDescent="0.3">
      <c r="A638" s="4" t="s">
        <v>92</v>
      </c>
      <c r="B638" s="4" t="s">
        <v>33</v>
      </c>
      <c r="C638" s="4" t="str">
        <f t="shared" si="9"/>
        <v>ระนอง|รย.3-ตู้บรรทุก</v>
      </c>
      <c r="D638" s="5"/>
    </row>
    <row r="639" spans="1:4" x14ac:dyDescent="0.3">
      <c r="A639" s="4" t="s">
        <v>93</v>
      </c>
      <c r="B639" s="4" t="s">
        <v>19</v>
      </c>
      <c r="C639" s="4" t="str">
        <f t="shared" si="9"/>
        <v>ระยอง|รย.12-น้อยกว่า 300cc</v>
      </c>
      <c r="D639" s="5"/>
    </row>
    <row r="640" spans="1:4" x14ac:dyDescent="0.3">
      <c r="A640" s="4" t="s">
        <v>93</v>
      </c>
      <c r="B640" s="4" t="s">
        <v>21</v>
      </c>
      <c r="C640" s="4" t="str">
        <f t="shared" si="9"/>
        <v>ระยอง|รย.12-300-799cc</v>
      </c>
      <c r="D640" s="5"/>
    </row>
    <row r="641" spans="1:4" x14ac:dyDescent="0.3">
      <c r="A641" s="4" t="s">
        <v>93</v>
      </c>
      <c r="B641" s="4" t="s">
        <v>22</v>
      </c>
      <c r="C641" s="4" t="str">
        <f t="shared" si="9"/>
        <v>ระยอง|รย.12-800-999cc</v>
      </c>
      <c r="D641" s="5"/>
    </row>
    <row r="642" spans="1:4" x14ac:dyDescent="0.3">
      <c r="A642" s="4" t="s">
        <v>93</v>
      </c>
      <c r="B642" s="4" t="s">
        <v>23</v>
      </c>
      <c r="C642" s="4" t="str">
        <f t="shared" ref="C642:C705" si="10">A642&amp;"|"&amp;B642</f>
        <v>ระยอง|รย.12-1000cc ขึ้นไป</v>
      </c>
      <c r="D642" s="5"/>
    </row>
    <row r="643" spans="1:4" x14ac:dyDescent="0.3">
      <c r="A643" s="4" t="s">
        <v>93</v>
      </c>
      <c r="B643" s="4" t="s">
        <v>24</v>
      </c>
      <c r="C643" s="4" t="str">
        <f t="shared" si="10"/>
        <v>ระยอง|รย.1-เก๋ง 2 ตอน</v>
      </c>
      <c r="D643" s="5"/>
    </row>
    <row r="644" spans="1:4" x14ac:dyDescent="0.3">
      <c r="A644" s="4" t="s">
        <v>93</v>
      </c>
      <c r="B644" s="4" t="s">
        <v>26</v>
      </c>
      <c r="C644" s="4" t="str">
        <f t="shared" si="10"/>
        <v>ระยอง|รย.1-นั่ง 2 ตอน</v>
      </c>
      <c r="D644" s="5"/>
    </row>
    <row r="645" spans="1:4" x14ac:dyDescent="0.3">
      <c r="A645" s="4" t="s">
        <v>93</v>
      </c>
      <c r="B645" s="4" t="s">
        <v>27</v>
      </c>
      <c r="C645" s="4" t="str">
        <f t="shared" si="10"/>
        <v>ระยอง|รย.1-นั่ง 3 ตอน</v>
      </c>
      <c r="D645" s="5"/>
    </row>
    <row r="646" spans="1:4" x14ac:dyDescent="0.3">
      <c r="A646" s="4" t="s">
        <v>93</v>
      </c>
      <c r="B646" s="4" t="s">
        <v>28</v>
      </c>
      <c r="C646" s="4" t="str">
        <f t="shared" si="10"/>
        <v>ระยอง|รย.2-นั่ง 2 แถว</v>
      </c>
      <c r="D646" s="5"/>
    </row>
    <row r="647" spans="1:4" x14ac:dyDescent="0.3">
      <c r="A647" s="4" t="s">
        <v>93</v>
      </c>
      <c r="B647" s="4" t="s">
        <v>29</v>
      </c>
      <c r="C647" s="4" t="str">
        <f t="shared" si="10"/>
        <v>ระยอง|รย.2-นั่ง 4 ตอน</v>
      </c>
      <c r="D647" s="5"/>
    </row>
    <row r="648" spans="1:4" x14ac:dyDescent="0.3">
      <c r="A648" s="4" t="s">
        <v>93</v>
      </c>
      <c r="B648" s="4" t="s">
        <v>30</v>
      </c>
      <c r="C648" s="4" t="str">
        <f t="shared" si="10"/>
        <v>ระยอง|รย.3-กระบะบรรทุก</v>
      </c>
      <c r="D648" s="5"/>
    </row>
    <row r="649" spans="1:4" x14ac:dyDescent="0.3">
      <c r="A649" s="4" t="s">
        <v>93</v>
      </c>
      <c r="B649" s="4" t="s">
        <v>31</v>
      </c>
      <c r="C649" s="4" t="str">
        <f t="shared" si="10"/>
        <v>ระยอง|รย.3-กระบะบรรทุกมีหลังคา</v>
      </c>
      <c r="D649" s="5"/>
    </row>
    <row r="650" spans="1:4" x14ac:dyDescent="0.3">
      <c r="A650" s="4" t="s">
        <v>93</v>
      </c>
      <c r="B650" s="4" t="s">
        <v>32</v>
      </c>
      <c r="C650" s="4" t="str">
        <f t="shared" si="10"/>
        <v>ระยอง|รย.3-กระบะบรรทุกมีหลังคาแหนบ</v>
      </c>
      <c r="D650" s="5"/>
    </row>
    <row r="651" spans="1:4" x14ac:dyDescent="0.3">
      <c r="A651" s="4" t="s">
        <v>93</v>
      </c>
      <c r="B651" s="4" t="s">
        <v>33</v>
      </c>
      <c r="C651" s="4" t="str">
        <f t="shared" si="10"/>
        <v>ระยอง|รย.3-ตู้บรรทุก</v>
      </c>
      <c r="D651" s="5"/>
    </row>
    <row r="652" spans="1:4" x14ac:dyDescent="0.3">
      <c r="A652" s="4" t="s">
        <v>94</v>
      </c>
      <c r="B652" s="4" t="s">
        <v>19</v>
      </c>
      <c r="C652" s="4" t="str">
        <f t="shared" si="10"/>
        <v>ราชบุรี|รย.12-น้อยกว่า 300cc</v>
      </c>
      <c r="D652" s="5"/>
    </row>
    <row r="653" spans="1:4" x14ac:dyDescent="0.3">
      <c r="A653" s="4" t="s">
        <v>94</v>
      </c>
      <c r="B653" s="4" t="s">
        <v>21</v>
      </c>
      <c r="C653" s="4" t="str">
        <f t="shared" si="10"/>
        <v>ราชบุรี|รย.12-300-799cc</v>
      </c>
      <c r="D653" s="5"/>
    </row>
    <row r="654" spans="1:4" x14ac:dyDescent="0.3">
      <c r="A654" s="4" t="s">
        <v>94</v>
      </c>
      <c r="B654" s="4" t="s">
        <v>22</v>
      </c>
      <c r="C654" s="4" t="str">
        <f t="shared" si="10"/>
        <v>ราชบุรี|รย.12-800-999cc</v>
      </c>
      <c r="D654" s="5"/>
    </row>
    <row r="655" spans="1:4" x14ac:dyDescent="0.3">
      <c r="A655" s="4" t="s">
        <v>94</v>
      </c>
      <c r="B655" s="4" t="s">
        <v>23</v>
      </c>
      <c r="C655" s="4" t="str">
        <f t="shared" si="10"/>
        <v>ราชบุรี|รย.12-1000cc ขึ้นไป</v>
      </c>
      <c r="D655" s="5"/>
    </row>
    <row r="656" spans="1:4" x14ac:dyDescent="0.3">
      <c r="A656" s="4" t="s">
        <v>94</v>
      </c>
      <c r="B656" s="4" t="s">
        <v>24</v>
      </c>
      <c r="C656" s="4" t="str">
        <f t="shared" si="10"/>
        <v>ราชบุรี|รย.1-เก๋ง 2 ตอน</v>
      </c>
      <c r="D656" s="5"/>
    </row>
    <row r="657" spans="1:4" x14ac:dyDescent="0.3">
      <c r="A657" s="4" t="s">
        <v>94</v>
      </c>
      <c r="B657" s="4" t="s">
        <v>26</v>
      </c>
      <c r="C657" s="4" t="str">
        <f t="shared" si="10"/>
        <v>ราชบุรี|รย.1-นั่ง 2 ตอน</v>
      </c>
      <c r="D657" s="5"/>
    </row>
    <row r="658" spans="1:4" x14ac:dyDescent="0.3">
      <c r="A658" s="4" t="s">
        <v>94</v>
      </c>
      <c r="B658" s="4" t="s">
        <v>27</v>
      </c>
      <c r="C658" s="4" t="str">
        <f t="shared" si="10"/>
        <v>ราชบุรี|รย.1-นั่ง 3 ตอน</v>
      </c>
      <c r="D658" s="5"/>
    </row>
    <row r="659" spans="1:4" x14ac:dyDescent="0.3">
      <c r="A659" s="4" t="s">
        <v>94</v>
      </c>
      <c r="B659" s="4" t="s">
        <v>28</v>
      </c>
      <c r="C659" s="4" t="str">
        <f t="shared" si="10"/>
        <v>ราชบุรี|รย.2-นั่ง 2 แถว</v>
      </c>
      <c r="D659" s="5"/>
    </row>
    <row r="660" spans="1:4" x14ac:dyDescent="0.3">
      <c r="A660" s="4" t="s">
        <v>94</v>
      </c>
      <c r="B660" s="4" t="s">
        <v>29</v>
      </c>
      <c r="C660" s="4" t="str">
        <f t="shared" si="10"/>
        <v>ราชบุรี|รย.2-นั่ง 4 ตอน</v>
      </c>
      <c r="D660" s="5"/>
    </row>
    <row r="661" spans="1:4" x14ac:dyDescent="0.3">
      <c r="A661" s="4" t="s">
        <v>94</v>
      </c>
      <c r="B661" s="4" t="s">
        <v>30</v>
      </c>
      <c r="C661" s="4" t="str">
        <f t="shared" si="10"/>
        <v>ราชบุรี|รย.3-กระบะบรรทุก</v>
      </c>
      <c r="D661" s="5"/>
    </row>
    <row r="662" spans="1:4" x14ac:dyDescent="0.3">
      <c r="A662" s="4" t="s">
        <v>94</v>
      </c>
      <c r="B662" s="4" t="s">
        <v>31</v>
      </c>
      <c r="C662" s="4" t="str">
        <f t="shared" si="10"/>
        <v>ราชบุรี|รย.3-กระบะบรรทุกมีหลังคา</v>
      </c>
      <c r="D662" s="5"/>
    </row>
    <row r="663" spans="1:4" x14ac:dyDescent="0.3">
      <c r="A663" s="4" t="s">
        <v>94</v>
      </c>
      <c r="B663" s="4" t="s">
        <v>32</v>
      </c>
      <c r="C663" s="4" t="str">
        <f t="shared" si="10"/>
        <v>ราชบุรี|รย.3-กระบะบรรทุกมีหลังคาแหนบ</v>
      </c>
      <c r="D663" s="5"/>
    </row>
    <row r="664" spans="1:4" x14ac:dyDescent="0.3">
      <c r="A664" s="4" t="s">
        <v>94</v>
      </c>
      <c r="B664" s="4" t="s">
        <v>33</v>
      </c>
      <c r="C664" s="4" t="str">
        <f t="shared" si="10"/>
        <v>ราชบุรี|รย.3-ตู้บรรทุก</v>
      </c>
      <c r="D664" s="5"/>
    </row>
    <row r="665" spans="1:4" x14ac:dyDescent="0.3">
      <c r="A665" s="4" t="s">
        <v>95</v>
      </c>
      <c r="B665" s="4" t="s">
        <v>19</v>
      </c>
      <c r="C665" s="4" t="str">
        <f t="shared" si="10"/>
        <v>ลพบุรี|รย.12-น้อยกว่า 300cc</v>
      </c>
      <c r="D665" s="5"/>
    </row>
    <row r="666" spans="1:4" x14ac:dyDescent="0.3">
      <c r="A666" s="4" t="s">
        <v>95</v>
      </c>
      <c r="B666" s="4" t="s">
        <v>21</v>
      </c>
      <c r="C666" s="4" t="str">
        <f t="shared" si="10"/>
        <v>ลพบุรี|รย.12-300-799cc</v>
      </c>
      <c r="D666" s="5"/>
    </row>
    <row r="667" spans="1:4" x14ac:dyDescent="0.3">
      <c r="A667" s="4" t="s">
        <v>95</v>
      </c>
      <c r="B667" s="4" t="s">
        <v>22</v>
      </c>
      <c r="C667" s="4" t="str">
        <f t="shared" si="10"/>
        <v>ลพบุรี|รย.12-800-999cc</v>
      </c>
      <c r="D667" s="5"/>
    </row>
    <row r="668" spans="1:4" x14ac:dyDescent="0.3">
      <c r="A668" s="4" t="s">
        <v>95</v>
      </c>
      <c r="B668" s="4" t="s">
        <v>23</v>
      </c>
      <c r="C668" s="4" t="str">
        <f t="shared" si="10"/>
        <v>ลพบุรี|รย.12-1000cc ขึ้นไป</v>
      </c>
      <c r="D668" s="5"/>
    </row>
    <row r="669" spans="1:4" x14ac:dyDescent="0.3">
      <c r="A669" s="4" t="s">
        <v>95</v>
      </c>
      <c r="B669" s="4" t="s">
        <v>24</v>
      </c>
      <c r="C669" s="4" t="str">
        <f t="shared" si="10"/>
        <v>ลพบุรี|รย.1-เก๋ง 2 ตอน</v>
      </c>
      <c r="D669" s="5"/>
    </row>
    <row r="670" spans="1:4" x14ac:dyDescent="0.3">
      <c r="A670" s="4" t="s">
        <v>95</v>
      </c>
      <c r="B670" s="4" t="s">
        <v>26</v>
      </c>
      <c r="C670" s="4" t="str">
        <f t="shared" si="10"/>
        <v>ลพบุรี|รย.1-นั่ง 2 ตอน</v>
      </c>
      <c r="D670" s="5"/>
    </row>
    <row r="671" spans="1:4" x14ac:dyDescent="0.3">
      <c r="A671" s="4" t="s">
        <v>95</v>
      </c>
      <c r="B671" s="4" t="s">
        <v>27</v>
      </c>
      <c r="C671" s="4" t="str">
        <f t="shared" si="10"/>
        <v>ลพบุรี|รย.1-นั่ง 3 ตอน</v>
      </c>
      <c r="D671" s="5"/>
    </row>
    <row r="672" spans="1:4" x14ac:dyDescent="0.3">
      <c r="A672" s="4" t="s">
        <v>95</v>
      </c>
      <c r="B672" s="4" t="s">
        <v>28</v>
      </c>
      <c r="C672" s="4" t="str">
        <f t="shared" si="10"/>
        <v>ลพบุรี|รย.2-นั่ง 2 แถว</v>
      </c>
      <c r="D672" s="5"/>
    </row>
    <row r="673" spans="1:4" x14ac:dyDescent="0.3">
      <c r="A673" s="4" t="s">
        <v>95</v>
      </c>
      <c r="B673" s="4" t="s">
        <v>29</v>
      </c>
      <c r="C673" s="4" t="str">
        <f t="shared" si="10"/>
        <v>ลพบุรี|รย.2-นั่ง 4 ตอน</v>
      </c>
      <c r="D673" s="5"/>
    </row>
    <row r="674" spans="1:4" x14ac:dyDescent="0.3">
      <c r="A674" s="4" t="s">
        <v>95</v>
      </c>
      <c r="B674" s="4" t="s">
        <v>30</v>
      </c>
      <c r="C674" s="4" t="str">
        <f t="shared" si="10"/>
        <v>ลพบุรี|รย.3-กระบะบรรทุก</v>
      </c>
      <c r="D674" s="5"/>
    </row>
    <row r="675" spans="1:4" x14ac:dyDescent="0.3">
      <c r="A675" s="4" t="s">
        <v>95</v>
      </c>
      <c r="B675" s="4" t="s">
        <v>31</v>
      </c>
      <c r="C675" s="4" t="str">
        <f t="shared" si="10"/>
        <v>ลพบุรี|รย.3-กระบะบรรทุกมีหลังคา</v>
      </c>
      <c r="D675" s="5"/>
    </row>
    <row r="676" spans="1:4" x14ac:dyDescent="0.3">
      <c r="A676" s="4" t="s">
        <v>95</v>
      </c>
      <c r="B676" s="4" t="s">
        <v>32</v>
      </c>
      <c r="C676" s="4" t="str">
        <f t="shared" si="10"/>
        <v>ลพบุรี|รย.3-กระบะบรรทุกมีหลังคาแหนบ</v>
      </c>
      <c r="D676" s="5"/>
    </row>
    <row r="677" spans="1:4" x14ac:dyDescent="0.3">
      <c r="A677" s="4" t="s">
        <v>95</v>
      </c>
      <c r="B677" s="4" t="s">
        <v>33</v>
      </c>
      <c r="C677" s="4" t="str">
        <f t="shared" si="10"/>
        <v>ลพบุรี|รย.3-ตู้บรรทุก</v>
      </c>
      <c r="D677" s="5"/>
    </row>
    <row r="678" spans="1:4" x14ac:dyDescent="0.3">
      <c r="A678" s="4" t="s">
        <v>96</v>
      </c>
      <c r="B678" s="4" t="s">
        <v>19</v>
      </c>
      <c r="C678" s="4" t="str">
        <f t="shared" si="10"/>
        <v>ลำปาง|รย.12-น้อยกว่า 300cc</v>
      </c>
      <c r="D678" s="5"/>
    </row>
    <row r="679" spans="1:4" x14ac:dyDescent="0.3">
      <c r="A679" s="4" t="s">
        <v>96</v>
      </c>
      <c r="B679" s="4" t="s">
        <v>21</v>
      </c>
      <c r="C679" s="4" t="str">
        <f t="shared" si="10"/>
        <v>ลำปาง|รย.12-300-799cc</v>
      </c>
      <c r="D679" s="5"/>
    </row>
    <row r="680" spans="1:4" x14ac:dyDescent="0.3">
      <c r="A680" s="4" t="s">
        <v>96</v>
      </c>
      <c r="B680" s="4" t="s">
        <v>22</v>
      </c>
      <c r="C680" s="4" t="str">
        <f t="shared" si="10"/>
        <v>ลำปาง|รย.12-800-999cc</v>
      </c>
      <c r="D680" s="5"/>
    </row>
    <row r="681" spans="1:4" x14ac:dyDescent="0.3">
      <c r="A681" s="4" t="s">
        <v>96</v>
      </c>
      <c r="B681" s="4" t="s">
        <v>23</v>
      </c>
      <c r="C681" s="4" t="str">
        <f t="shared" si="10"/>
        <v>ลำปาง|รย.12-1000cc ขึ้นไป</v>
      </c>
      <c r="D681" s="5"/>
    </row>
    <row r="682" spans="1:4" x14ac:dyDescent="0.3">
      <c r="A682" s="4" t="s">
        <v>96</v>
      </c>
      <c r="B682" s="4" t="s">
        <v>24</v>
      </c>
      <c r="C682" s="4" t="str">
        <f t="shared" si="10"/>
        <v>ลำปาง|รย.1-เก๋ง 2 ตอน</v>
      </c>
      <c r="D682" s="5"/>
    </row>
    <row r="683" spans="1:4" x14ac:dyDescent="0.3">
      <c r="A683" s="4" t="s">
        <v>96</v>
      </c>
      <c r="B683" s="4" t="s">
        <v>26</v>
      </c>
      <c r="C683" s="4" t="str">
        <f t="shared" si="10"/>
        <v>ลำปาง|รย.1-นั่ง 2 ตอน</v>
      </c>
      <c r="D683" s="5"/>
    </row>
    <row r="684" spans="1:4" x14ac:dyDescent="0.3">
      <c r="A684" s="4" t="s">
        <v>96</v>
      </c>
      <c r="B684" s="4" t="s">
        <v>27</v>
      </c>
      <c r="C684" s="4" t="str">
        <f t="shared" si="10"/>
        <v>ลำปาง|รย.1-นั่ง 3 ตอน</v>
      </c>
      <c r="D684" s="5"/>
    </row>
    <row r="685" spans="1:4" x14ac:dyDescent="0.3">
      <c r="A685" s="4" t="s">
        <v>96</v>
      </c>
      <c r="B685" s="4" t="s">
        <v>28</v>
      </c>
      <c r="C685" s="4" t="str">
        <f t="shared" si="10"/>
        <v>ลำปาง|รย.2-นั่ง 2 แถว</v>
      </c>
      <c r="D685" s="5"/>
    </row>
    <row r="686" spans="1:4" x14ac:dyDescent="0.3">
      <c r="A686" s="4" t="s">
        <v>96</v>
      </c>
      <c r="B686" s="4" t="s">
        <v>29</v>
      </c>
      <c r="C686" s="4" t="str">
        <f t="shared" si="10"/>
        <v>ลำปาง|รย.2-นั่ง 4 ตอน</v>
      </c>
      <c r="D686" s="5"/>
    </row>
    <row r="687" spans="1:4" x14ac:dyDescent="0.3">
      <c r="A687" s="4" t="s">
        <v>96</v>
      </c>
      <c r="B687" s="4" t="s">
        <v>30</v>
      </c>
      <c r="C687" s="4" t="str">
        <f t="shared" si="10"/>
        <v>ลำปาง|รย.3-กระบะบรรทุก</v>
      </c>
      <c r="D687" s="5"/>
    </row>
    <row r="688" spans="1:4" x14ac:dyDescent="0.3">
      <c r="A688" s="4" t="s">
        <v>96</v>
      </c>
      <c r="B688" s="4" t="s">
        <v>31</v>
      </c>
      <c r="C688" s="4" t="str">
        <f t="shared" si="10"/>
        <v>ลำปาง|รย.3-กระบะบรรทุกมีหลังคา</v>
      </c>
      <c r="D688" s="5"/>
    </row>
    <row r="689" spans="1:4" x14ac:dyDescent="0.3">
      <c r="A689" s="4" t="s">
        <v>96</v>
      </c>
      <c r="B689" s="4" t="s">
        <v>32</v>
      </c>
      <c r="C689" s="4" t="str">
        <f t="shared" si="10"/>
        <v>ลำปาง|รย.3-กระบะบรรทุกมีหลังคาแหนบ</v>
      </c>
      <c r="D689" s="5"/>
    </row>
    <row r="690" spans="1:4" x14ac:dyDescent="0.3">
      <c r="A690" s="4" t="s">
        <v>96</v>
      </c>
      <c r="B690" s="4" t="s">
        <v>33</v>
      </c>
      <c r="C690" s="4" t="str">
        <f t="shared" si="10"/>
        <v>ลำปาง|รย.3-ตู้บรรทุก</v>
      </c>
      <c r="D690" s="5"/>
    </row>
    <row r="691" spans="1:4" x14ac:dyDescent="0.3">
      <c r="A691" s="4" t="s">
        <v>97</v>
      </c>
      <c r="B691" s="4" t="s">
        <v>19</v>
      </c>
      <c r="C691" s="4" t="str">
        <f t="shared" si="10"/>
        <v>ลำพูน|รย.12-น้อยกว่า 300cc</v>
      </c>
      <c r="D691" s="5"/>
    </row>
    <row r="692" spans="1:4" x14ac:dyDescent="0.3">
      <c r="A692" s="4" t="s">
        <v>97</v>
      </c>
      <c r="B692" s="4" t="s">
        <v>21</v>
      </c>
      <c r="C692" s="4" t="str">
        <f t="shared" si="10"/>
        <v>ลำพูน|รย.12-300-799cc</v>
      </c>
      <c r="D692" s="5"/>
    </row>
    <row r="693" spans="1:4" x14ac:dyDescent="0.3">
      <c r="A693" s="4" t="s">
        <v>97</v>
      </c>
      <c r="B693" s="4" t="s">
        <v>22</v>
      </c>
      <c r="C693" s="4" t="str">
        <f t="shared" si="10"/>
        <v>ลำพูน|รย.12-800-999cc</v>
      </c>
      <c r="D693" s="5"/>
    </row>
    <row r="694" spans="1:4" x14ac:dyDescent="0.3">
      <c r="A694" s="4" t="s">
        <v>97</v>
      </c>
      <c r="B694" s="4" t="s">
        <v>23</v>
      </c>
      <c r="C694" s="4" t="str">
        <f t="shared" si="10"/>
        <v>ลำพูน|รย.12-1000cc ขึ้นไป</v>
      </c>
      <c r="D694" s="5"/>
    </row>
    <row r="695" spans="1:4" x14ac:dyDescent="0.3">
      <c r="A695" s="4" t="s">
        <v>97</v>
      </c>
      <c r="B695" s="4" t="s">
        <v>24</v>
      </c>
      <c r="C695" s="4" t="str">
        <f t="shared" si="10"/>
        <v>ลำพูน|รย.1-เก๋ง 2 ตอน</v>
      </c>
      <c r="D695" s="5"/>
    </row>
    <row r="696" spans="1:4" x14ac:dyDescent="0.3">
      <c r="A696" s="4" t="s">
        <v>97</v>
      </c>
      <c r="B696" s="4" t="s">
        <v>26</v>
      </c>
      <c r="C696" s="4" t="str">
        <f t="shared" si="10"/>
        <v>ลำพูน|รย.1-นั่ง 2 ตอน</v>
      </c>
      <c r="D696" s="5"/>
    </row>
    <row r="697" spans="1:4" x14ac:dyDescent="0.3">
      <c r="A697" s="4" t="s">
        <v>97</v>
      </c>
      <c r="B697" s="4" t="s">
        <v>27</v>
      </c>
      <c r="C697" s="4" t="str">
        <f t="shared" si="10"/>
        <v>ลำพูน|รย.1-นั่ง 3 ตอน</v>
      </c>
      <c r="D697" s="5"/>
    </row>
    <row r="698" spans="1:4" x14ac:dyDescent="0.3">
      <c r="A698" s="4" t="s">
        <v>97</v>
      </c>
      <c r="B698" s="4" t="s">
        <v>28</v>
      </c>
      <c r="C698" s="4" t="str">
        <f t="shared" si="10"/>
        <v>ลำพูน|รย.2-นั่ง 2 แถว</v>
      </c>
      <c r="D698" s="5"/>
    </row>
    <row r="699" spans="1:4" x14ac:dyDescent="0.3">
      <c r="A699" s="4" t="s">
        <v>97</v>
      </c>
      <c r="B699" s="4" t="s">
        <v>29</v>
      </c>
      <c r="C699" s="4" t="str">
        <f t="shared" si="10"/>
        <v>ลำพูน|รย.2-นั่ง 4 ตอน</v>
      </c>
      <c r="D699" s="5"/>
    </row>
    <row r="700" spans="1:4" x14ac:dyDescent="0.3">
      <c r="A700" s="4" t="s">
        <v>97</v>
      </c>
      <c r="B700" s="4" t="s">
        <v>30</v>
      </c>
      <c r="C700" s="4" t="str">
        <f t="shared" si="10"/>
        <v>ลำพูน|รย.3-กระบะบรรทุก</v>
      </c>
      <c r="D700" s="5"/>
    </row>
    <row r="701" spans="1:4" x14ac:dyDescent="0.3">
      <c r="A701" s="4" t="s">
        <v>97</v>
      </c>
      <c r="B701" s="4" t="s">
        <v>31</v>
      </c>
      <c r="C701" s="4" t="str">
        <f t="shared" si="10"/>
        <v>ลำพูน|รย.3-กระบะบรรทุกมีหลังคา</v>
      </c>
      <c r="D701" s="5"/>
    </row>
    <row r="702" spans="1:4" x14ac:dyDescent="0.3">
      <c r="A702" s="4" t="s">
        <v>97</v>
      </c>
      <c r="B702" s="4" t="s">
        <v>32</v>
      </c>
      <c r="C702" s="4" t="str">
        <f t="shared" si="10"/>
        <v>ลำพูน|รย.3-กระบะบรรทุกมีหลังคาแหนบ</v>
      </c>
      <c r="D702" s="5"/>
    </row>
    <row r="703" spans="1:4" x14ac:dyDescent="0.3">
      <c r="A703" s="4" t="s">
        <v>97</v>
      </c>
      <c r="B703" s="4" t="s">
        <v>33</v>
      </c>
      <c r="C703" s="4" t="str">
        <f t="shared" si="10"/>
        <v>ลำพูน|รย.3-ตู้บรรทุก</v>
      </c>
      <c r="D703" s="5"/>
    </row>
    <row r="704" spans="1:4" x14ac:dyDescent="0.3">
      <c r="A704" s="4" t="s">
        <v>98</v>
      </c>
      <c r="B704" s="4" t="s">
        <v>19</v>
      </c>
      <c r="C704" s="4" t="str">
        <f t="shared" si="10"/>
        <v>เลย|รย.12-น้อยกว่า 300cc</v>
      </c>
      <c r="D704" s="5"/>
    </row>
    <row r="705" spans="1:4" x14ac:dyDescent="0.3">
      <c r="A705" s="4" t="s">
        <v>98</v>
      </c>
      <c r="B705" s="4" t="s">
        <v>21</v>
      </c>
      <c r="C705" s="4" t="str">
        <f t="shared" si="10"/>
        <v>เลย|รย.12-300-799cc</v>
      </c>
      <c r="D705" s="5"/>
    </row>
    <row r="706" spans="1:4" x14ac:dyDescent="0.3">
      <c r="A706" s="4" t="s">
        <v>98</v>
      </c>
      <c r="B706" s="4" t="s">
        <v>22</v>
      </c>
      <c r="C706" s="4" t="str">
        <f t="shared" ref="C706:C769" si="11">A706&amp;"|"&amp;B706</f>
        <v>เลย|รย.12-800-999cc</v>
      </c>
      <c r="D706" s="5"/>
    </row>
    <row r="707" spans="1:4" x14ac:dyDescent="0.3">
      <c r="A707" s="4" t="s">
        <v>98</v>
      </c>
      <c r="B707" s="4" t="s">
        <v>23</v>
      </c>
      <c r="C707" s="4" t="str">
        <f t="shared" si="11"/>
        <v>เลย|รย.12-1000cc ขึ้นไป</v>
      </c>
      <c r="D707" s="5"/>
    </row>
    <row r="708" spans="1:4" x14ac:dyDescent="0.3">
      <c r="A708" s="4" t="s">
        <v>98</v>
      </c>
      <c r="B708" s="4" t="s">
        <v>24</v>
      </c>
      <c r="C708" s="4" t="str">
        <f t="shared" si="11"/>
        <v>เลย|รย.1-เก๋ง 2 ตอน</v>
      </c>
      <c r="D708" s="5"/>
    </row>
    <row r="709" spans="1:4" x14ac:dyDescent="0.3">
      <c r="A709" s="4" t="s">
        <v>98</v>
      </c>
      <c r="B709" s="4" t="s">
        <v>26</v>
      </c>
      <c r="C709" s="4" t="str">
        <f t="shared" si="11"/>
        <v>เลย|รย.1-นั่ง 2 ตอน</v>
      </c>
      <c r="D709" s="5"/>
    </row>
    <row r="710" spans="1:4" x14ac:dyDescent="0.3">
      <c r="A710" s="4" t="s">
        <v>98</v>
      </c>
      <c r="B710" s="4" t="s">
        <v>27</v>
      </c>
      <c r="C710" s="4" t="str">
        <f t="shared" si="11"/>
        <v>เลย|รย.1-นั่ง 3 ตอน</v>
      </c>
      <c r="D710" s="5"/>
    </row>
    <row r="711" spans="1:4" x14ac:dyDescent="0.3">
      <c r="A711" s="4" t="s">
        <v>98</v>
      </c>
      <c r="B711" s="4" t="s">
        <v>28</v>
      </c>
      <c r="C711" s="4" t="str">
        <f t="shared" si="11"/>
        <v>เลย|รย.2-นั่ง 2 แถว</v>
      </c>
      <c r="D711" s="5"/>
    </row>
    <row r="712" spans="1:4" x14ac:dyDescent="0.3">
      <c r="A712" s="4" t="s">
        <v>98</v>
      </c>
      <c r="B712" s="4" t="s">
        <v>29</v>
      </c>
      <c r="C712" s="4" t="str">
        <f t="shared" si="11"/>
        <v>เลย|รย.2-นั่ง 4 ตอน</v>
      </c>
      <c r="D712" s="5"/>
    </row>
    <row r="713" spans="1:4" x14ac:dyDescent="0.3">
      <c r="A713" s="4" t="s">
        <v>98</v>
      </c>
      <c r="B713" s="4" t="s">
        <v>30</v>
      </c>
      <c r="C713" s="4" t="str">
        <f t="shared" si="11"/>
        <v>เลย|รย.3-กระบะบรรทุก</v>
      </c>
      <c r="D713" s="5"/>
    </row>
    <row r="714" spans="1:4" x14ac:dyDescent="0.3">
      <c r="A714" s="4" t="s">
        <v>98</v>
      </c>
      <c r="B714" s="4" t="s">
        <v>31</v>
      </c>
      <c r="C714" s="4" t="str">
        <f t="shared" si="11"/>
        <v>เลย|รย.3-กระบะบรรทุกมีหลังคา</v>
      </c>
      <c r="D714" s="5"/>
    </row>
    <row r="715" spans="1:4" x14ac:dyDescent="0.3">
      <c r="A715" s="4" t="s">
        <v>98</v>
      </c>
      <c r="B715" s="4" t="s">
        <v>32</v>
      </c>
      <c r="C715" s="4" t="str">
        <f t="shared" si="11"/>
        <v>เลย|รย.3-กระบะบรรทุกมีหลังคาแหนบ</v>
      </c>
      <c r="D715" s="5"/>
    </row>
    <row r="716" spans="1:4" x14ac:dyDescent="0.3">
      <c r="A716" s="4" t="s">
        <v>98</v>
      </c>
      <c r="B716" s="4" t="s">
        <v>33</v>
      </c>
      <c r="C716" s="4" t="str">
        <f t="shared" si="11"/>
        <v>เลย|รย.3-ตู้บรรทุก</v>
      </c>
      <c r="D716" s="5"/>
    </row>
    <row r="717" spans="1:4" x14ac:dyDescent="0.3">
      <c r="A717" s="4" t="s">
        <v>99</v>
      </c>
      <c r="B717" s="4" t="s">
        <v>19</v>
      </c>
      <c r="C717" s="4" t="str">
        <f t="shared" si="11"/>
        <v>ศรีสะเกษ|รย.12-น้อยกว่า 300cc</v>
      </c>
      <c r="D717" s="5"/>
    </row>
    <row r="718" spans="1:4" x14ac:dyDescent="0.3">
      <c r="A718" s="4" t="s">
        <v>99</v>
      </c>
      <c r="B718" s="4" t="s">
        <v>21</v>
      </c>
      <c r="C718" s="4" t="str">
        <f t="shared" si="11"/>
        <v>ศรีสะเกษ|รย.12-300-799cc</v>
      </c>
      <c r="D718" s="5"/>
    </row>
    <row r="719" spans="1:4" x14ac:dyDescent="0.3">
      <c r="A719" s="4" t="s">
        <v>99</v>
      </c>
      <c r="B719" s="4" t="s">
        <v>22</v>
      </c>
      <c r="C719" s="4" t="str">
        <f t="shared" si="11"/>
        <v>ศรีสะเกษ|รย.12-800-999cc</v>
      </c>
      <c r="D719" s="5"/>
    </row>
    <row r="720" spans="1:4" x14ac:dyDescent="0.3">
      <c r="A720" s="4" t="s">
        <v>99</v>
      </c>
      <c r="B720" s="4" t="s">
        <v>23</v>
      </c>
      <c r="C720" s="4" t="str">
        <f t="shared" si="11"/>
        <v>ศรีสะเกษ|รย.12-1000cc ขึ้นไป</v>
      </c>
      <c r="D720" s="5"/>
    </row>
    <row r="721" spans="1:4" x14ac:dyDescent="0.3">
      <c r="A721" s="4" t="s">
        <v>99</v>
      </c>
      <c r="B721" s="4" t="s">
        <v>24</v>
      </c>
      <c r="C721" s="4" t="str">
        <f t="shared" si="11"/>
        <v>ศรีสะเกษ|รย.1-เก๋ง 2 ตอน</v>
      </c>
      <c r="D721" s="5"/>
    </row>
    <row r="722" spans="1:4" x14ac:dyDescent="0.3">
      <c r="A722" s="4" t="s">
        <v>99</v>
      </c>
      <c r="B722" s="4" t="s">
        <v>26</v>
      </c>
      <c r="C722" s="4" t="str">
        <f t="shared" si="11"/>
        <v>ศรีสะเกษ|รย.1-นั่ง 2 ตอน</v>
      </c>
      <c r="D722" s="5"/>
    </row>
    <row r="723" spans="1:4" x14ac:dyDescent="0.3">
      <c r="A723" s="4" t="s">
        <v>99</v>
      </c>
      <c r="B723" s="4" t="s">
        <v>27</v>
      </c>
      <c r="C723" s="4" t="str">
        <f t="shared" si="11"/>
        <v>ศรีสะเกษ|รย.1-นั่ง 3 ตอน</v>
      </c>
      <c r="D723" s="5"/>
    </row>
    <row r="724" spans="1:4" x14ac:dyDescent="0.3">
      <c r="A724" s="4" t="s">
        <v>99</v>
      </c>
      <c r="B724" s="4" t="s">
        <v>28</v>
      </c>
      <c r="C724" s="4" t="str">
        <f t="shared" si="11"/>
        <v>ศรีสะเกษ|รย.2-นั่ง 2 แถว</v>
      </c>
      <c r="D724" s="5"/>
    </row>
    <row r="725" spans="1:4" x14ac:dyDescent="0.3">
      <c r="A725" s="4" t="s">
        <v>99</v>
      </c>
      <c r="B725" s="4" t="s">
        <v>29</v>
      </c>
      <c r="C725" s="4" t="str">
        <f t="shared" si="11"/>
        <v>ศรีสะเกษ|รย.2-นั่ง 4 ตอน</v>
      </c>
      <c r="D725" s="5"/>
    </row>
    <row r="726" spans="1:4" x14ac:dyDescent="0.3">
      <c r="A726" s="4" t="s">
        <v>99</v>
      </c>
      <c r="B726" s="4" t="s">
        <v>30</v>
      </c>
      <c r="C726" s="4" t="str">
        <f t="shared" si="11"/>
        <v>ศรีสะเกษ|รย.3-กระบะบรรทุก</v>
      </c>
      <c r="D726" s="5"/>
    </row>
    <row r="727" spans="1:4" x14ac:dyDescent="0.3">
      <c r="A727" s="4" t="s">
        <v>99</v>
      </c>
      <c r="B727" s="4" t="s">
        <v>31</v>
      </c>
      <c r="C727" s="4" t="str">
        <f t="shared" si="11"/>
        <v>ศรีสะเกษ|รย.3-กระบะบรรทุกมีหลังคา</v>
      </c>
      <c r="D727" s="5"/>
    </row>
    <row r="728" spans="1:4" x14ac:dyDescent="0.3">
      <c r="A728" s="4" t="s">
        <v>99</v>
      </c>
      <c r="B728" s="4" t="s">
        <v>32</v>
      </c>
      <c r="C728" s="4" t="str">
        <f t="shared" si="11"/>
        <v>ศรีสะเกษ|รย.3-กระบะบรรทุกมีหลังคาแหนบ</v>
      </c>
      <c r="D728" s="5"/>
    </row>
    <row r="729" spans="1:4" x14ac:dyDescent="0.3">
      <c r="A729" s="4" t="s">
        <v>99</v>
      </c>
      <c r="B729" s="4" t="s">
        <v>33</v>
      </c>
      <c r="C729" s="4" t="str">
        <f t="shared" si="11"/>
        <v>ศรีสะเกษ|รย.3-ตู้บรรทุก</v>
      </c>
      <c r="D729" s="5"/>
    </row>
    <row r="730" spans="1:4" x14ac:dyDescent="0.3">
      <c r="A730" s="4" t="s">
        <v>100</v>
      </c>
      <c r="B730" s="4" t="s">
        <v>19</v>
      </c>
      <c r="C730" s="4" t="str">
        <f t="shared" si="11"/>
        <v>สกลนคร|รย.12-น้อยกว่า 300cc</v>
      </c>
      <c r="D730" s="5"/>
    </row>
    <row r="731" spans="1:4" x14ac:dyDescent="0.3">
      <c r="A731" s="4" t="s">
        <v>100</v>
      </c>
      <c r="B731" s="4" t="s">
        <v>21</v>
      </c>
      <c r="C731" s="4" t="str">
        <f t="shared" si="11"/>
        <v>สกลนคร|รย.12-300-799cc</v>
      </c>
      <c r="D731" s="5"/>
    </row>
    <row r="732" spans="1:4" x14ac:dyDescent="0.3">
      <c r="A732" s="4" t="s">
        <v>100</v>
      </c>
      <c r="B732" s="4" t="s">
        <v>22</v>
      </c>
      <c r="C732" s="4" t="str">
        <f t="shared" si="11"/>
        <v>สกลนคร|รย.12-800-999cc</v>
      </c>
      <c r="D732" s="5"/>
    </row>
    <row r="733" spans="1:4" x14ac:dyDescent="0.3">
      <c r="A733" s="4" t="s">
        <v>100</v>
      </c>
      <c r="B733" s="4" t="s">
        <v>23</v>
      </c>
      <c r="C733" s="4" t="str">
        <f t="shared" si="11"/>
        <v>สกลนคร|รย.12-1000cc ขึ้นไป</v>
      </c>
      <c r="D733" s="5"/>
    </row>
    <row r="734" spans="1:4" x14ac:dyDescent="0.3">
      <c r="A734" s="4" t="s">
        <v>100</v>
      </c>
      <c r="B734" s="4" t="s">
        <v>24</v>
      </c>
      <c r="C734" s="4" t="str">
        <f t="shared" si="11"/>
        <v>สกลนคร|รย.1-เก๋ง 2 ตอน</v>
      </c>
      <c r="D734" s="5"/>
    </row>
    <row r="735" spans="1:4" x14ac:dyDescent="0.3">
      <c r="A735" s="4" t="s">
        <v>100</v>
      </c>
      <c r="B735" s="4" t="s">
        <v>26</v>
      </c>
      <c r="C735" s="4" t="str">
        <f t="shared" si="11"/>
        <v>สกลนคร|รย.1-นั่ง 2 ตอน</v>
      </c>
      <c r="D735" s="5"/>
    </row>
    <row r="736" spans="1:4" x14ac:dyDescent="0.3">
      <c r="A736" s="4" t="s">
        <v>100</v>
      </c>
      <c r="B736" s="4" t="s">
        <v>27</v>
      </c>
      <c r="C736" s="4" t="str">
        <f t="shared" si="11"/>
        <v>สกลนคร|รย.1-นั่ง 3 ตอน</v>
      </c>
      <c r="D736" s="5"/>
    </row>
    <row r="737" spans="1:4" x14ac:dyDescent="0.3">
      <c r="A737" s="4" t="s">
        <v>100</v>
      </c>
      <c r="B737" s="4" t="s">
        <v>28</v>
      </c>
      <c r="C737" s="4" t="str">
        <f t="shared" si="11"/>
        <v>สกลนคร|รย.2-นั่ง 2 แถว</v>
      </c>
      <c r="D737" s="5"/>
    </row>
    <row r="738" spans="1:4" x14ac:dyDescent="0.3">
      <c r="A738" s="4" t="s">
        <v>100</v>
      </c>
      <c r="B738" s="4" t="s">
        <v>29</v>
      </c>
      <c r="C738" s="4" t="str">
        <f t="shared" si="11"/>
        <v>สกลนคร|รย.2-นั่ง 4 ตอน</v>
      </c>
      <c r="D738" s="5"/>
    </row>
    <row r="739" spans="1:4" x14ac:dyDescent="0.3">
      <c r="A739" s="4" t="s">
        <v>100</v>
      </c>
      <c r="B739" s="4" t="s">
        <v>30</v>
      </c>
      <c r="C739" s="4" t="str">
        <f t="shared" si="11"/>
        <v>สกลนคร|รย.3-กระบะบรรทุก</v>
      </c>
      <c r="D739" s="5"/>
    </row>
    <row r="740" spans="1:4" x14ac:dyDescent="0.3">
      <c r="A740" s="4" t="s">
        <v>100</v>
      </c>
      <c r="B740" s="4" t="s">
        <v>31</v>
      </c>
      <c r="C740" s="4" t="str">
        <f t="shared" si="11"/>
        <v>สกลนคร|รย.3-กระบะบรรทุกมีหลังคา</v>
      </c>
      <c r="D740" s="5"/>
    </row>
    <row r="741" spans="1:4" x14ac:dyDescent="0.3">
      <c r="A741" s="4" t="s">
        <v>100</v>
      </c>
      <c r="B741" s="4" t="s">
        <v>32</v>
      </c>
      <c r="C741" s="4" t="str">
        <f t="shared" si="11"/>
        <v>สกลนคร|รย.3-กระบะบรรทุกมีหลังคาแหนบ</v>
      </c>
      <c r="D741" s="5"/>
    </row>
    <row r="742" spans="1:4" x14ac:dyDescent="0.3">
      <c r="A742" s="4" t="s">
        <v>100</v>
      </c>
      <c r="B742" s="4" t="s">
        <v>33</v>
      </c>
      <c r="C742" s="4" t="str">
        <f t="shared" si="11"/>
        <v>สกลนคร|รย.3-ตู้บรรทุก</v>
      </c>
      <c r="D742" s="5"/>
    </row>
    <row r="743" spans="1:4" x14ac:dyDescent="0.3">
      <c r="A743" s="4" t="s">
        <v>101</v>
      </c>
      <c r="B743" s="4" t="s">
        <v>19</v>
      </c>
      <c r="C743" s="4" t="str">
        <f t="shared" si="11"/>
        <v>สงขลา|รย.12-น้อยกว่า 300cc</v>
      </c>
      <c r="D743" s="5"/>
    </row>
    <row r="744" spans="1:4" x14ac:dyDescent="0.3">
      <c r="A744" s="4" t="s">
        <v>101</v>
      </c>
      <c r="B744" s="4" t="s">
        <v>21</v>
      </c>
      <c r="C744" s="4" t="str">
        <f t="shared" si="11"/>
        <v>สงขลา|รย.12-300-799cc</v>
      </c>
      <c r="D744" s="5"/>
    </row>
    <row r="745" spans="1:4" x14ac:dyDescent="0.3">
      <c r="A745" s="4" t="s">
        <v>101</v>
      </c>
      <c r="B745" s="4" t="s">
        <v>22</v>
      </c>
      <c r="C745" s="4" t="str">
        <f t="shared" si="11"/>
        <v>สงขลา|รย.12-800-999cc</v>
      </c>
      <c r="D745" s="5"/>
    </row>
    <row r="746" spans="1:4" x14ac:dyDescent="0.3">
      <c r="A746" s="4" t="s">
        <v>101</v>
      </c>
      <c r="B746" s="4" t="s">
        <v>23</v>
      </c>
      <c r="C746" s="4" t="str">
        <f t="shared" si="11"/>
        <v>สงขลา|รย.12-1000cc ขึ้นไป</v>
      </c>
      <c r="D746" s="5"/>
    </row>
    <row r="747" spans="1:4" x14ac:dyDescent="0.3">
      <c r="A747" s="4" t="s">
        <v>101</v>
      </c>
      <c r="B747" s="4" t="s">
        <v>24</v>
      </c>
      <c r="C747" s="4" t="str">
        <f t="shared" si="11"/>
        <v>สงขลา|รย.1-เก๋ง 2 ตอน</v>
      </c>
      <c r="D747" s="5"/>
    </row>
    <row r="748" spans="1:4" x14ac:dyDescent="0.3">
      <c r="A748" s="4" t="s">
        <v>101</v>
      </c>
      <c r="B748" s="4" t="s">
        <v>26</v>
      </c>
      <c r="C748" s="4" t="str">
        <f t="shared" si="11"/>
        <v>สงขลา|รย.1-นั่ง 2 ตอน</v>
      </c>
      <c r="D748" s="5"/>
    </row>
    <row r="749" spans="1:4" x14ac:dyDescent="0.3">
      <c r="A749" s="4" t="s">
        <v>101</v>
      </c>
      <c r="B749" s="4" t="s">
        <v>27</v>
      </c>
      <c r="C749" s="4" t="str">
        <f t="shared" si="11"/>
        <v>สงขลา|รย.1-นั่ง 3 ตอน</v>
      </c>
      <c r="D749" s="5"/>
    </row>
    <row r="750" spans="1:4" x14ac:dyDescent="0.3">
      <c r="A750" s="4" t="s">
        <v>101</v>
      </c>
      <c r="B750" s="4" t="s">
        <v>28</v>
      </c>
      <c r="C750" s="4" t="str">
        <f t="shared" si="11"/>
        <v>สงขลา|รย.2-นั่ง 2 แถว</v>
      </c>
      <c r="D750" s="5"/>
    </row>
    <row r="751" spans="1:4" x14ac:dyDescent="0.3">
      <c r="A751" s="4" t="s">
        <v>101</v>
      </c>
      <c r="B751" s="4" t="s">
        <v>29</v>
      </c>
      <c r="C751" s="4" t="str">
        <f t="shared" si="11"/>
        <v>สงขลา|รย.2-นั่ง 4 ตอน</v>
      </c>
      <c r="D751" s="5"/>
    </row>
    <row r="752" spans="1:4" x14ac:dyDescent="0.3">
      <c r="A752" s="4" t="s">
        <v>101</v>
      </c>
      <c r="B752" s="4" t="s">
        <v>30</v>
      </c>
      <c r="C752" s="4" t="str">
        <f t="shared" si="11"/>
        <v>สงขลา|รย.3-กระบะบรรทุก</v>
      </c>
      <c r="D752" s="5"/>
    </row>
    <row r="753" spans="1:4" x14ac:dyDescent="0.3">
      <c r="A753" s="4" t="s">
        <v>101</v>
      </c>
      <c r="B753" s="4" t="s">
        <v>31</v>
      </c>
      <c r="C753" s="4" t="str">
        <f t="shared" si="11"/>
        <v>สงขลา|รย.3-กระบะบรรทุกมีหลังคา</v>
      </c>
      <c r="D753" s="5"/>
    </row>
    <row r="754" spans="1:4" x14ac:dyDescent="0.3">
      <c r="A754" s="4" t="s">
        <v>101</v>
      </c>
      <c r="B754" s="4" t="s">
        <v>32</v>
      </c>
      <c r="C754" s="4" t="str">
        <f t="shared" si="11"/>
        <v>สงขลา|รย.3-กระบะบรรทุกมีหลังคาแหนบ</v>
      </c>
      <c r="D754" s="5"/>
    </row>
    <row r="755" spans="1:4" x14ac:dyDescent="0.3">
      <c r="A755" s="4" t="s">
        <v>101</v>
      </c>
      <c r="B755" s="4" t="s">
        <v>33</v>
      </c>
      <c r="C755" s="4" t="str">
        <f t="shared" si="11"/>
        <v>สงขลา|รย.3-ตู้บรรทุก</v>
      </c>
      <c r="D755" s="5"/>
    </row>
    <row r="756" spans="1:4" x14ac:dyDescent="0.3">
      <c r="A756" s="4" t="s">
        <v>102</v>
      </c>
      <c r="B756" s="4" t="s">
        <v>19</v>
      </c>
      <c r="C756" s="4" t="str">
        <f t="shared" si="11"/>
        <v>สตูล|รย.12-น้อยกว่า 300cc</v>
      </c>
      <c r="D756" s="5"/>
    </row>
    <row r="757" spans="1:4" x14ac:dyDescent="0.3">
      <c r="A757" s="4" t="s">
        <v>102</v>
      </c>
      <c r="B757" s="4" t="s">
        <v>21</v>
      </c>
      <c r="C757" s="4" t="str">
        <f t="shared" si="11"/>
        <v>สตูล|รย.12-300-799cc</v>
      </c>
      <c r="D757" s="5"/>
    </row>
    <row r="758" spans="1:4" x14ac:dyDescent="0.3">
      <c r="A758" s="4" t="s">
        <v>102</v>
      </c>
      <c r="B758" s="4" t="s">
        <v>22</v>
      </c>
      <c r="C758" s="4" t="str">
        <f t="shared" si="11"/>
        <v>สตูล|รย.12-800-999cc</v>
      </c>
      <c r="D758" s="5"/>
    </row>
    <row r="759" spans="1:4" x14ac:dyDescent="0.3">
      <c r="A759" s="4" t="s">
        <v>102</v>
      </c>
      <c r="B759" s="4" t="s">
        <v>23</v>
      </c>
      <c r="C759" s="4" t="str">
        <f t="shared" si="11"/>
        <v>สตูล|รย.12-1000cc ขึ้นไป</v>
      </c>
      <c r="D759" s="5"/>
    </row>
    <row r="760" spans="1:4" x14ac:dyDescent="0.3">
      <c r="A760" s="4" t="s">
        <v>102</v>
      </c>
      <c r="B760" s="4" t="s">
        <v>24</v>
      </c>
      <c r="C760" s="4" t="str">
        <f t="shared" si="11"/>
        <v>สตูล|รย.1-เก๋ง 2 ตอน</v>
      </c>
      <c r="D760" s="5"/>
    </row>
    <row r="761" spans="1:4" x14ac:dyDescent="0.3">
      <c r="A761" s="4" t="s">
        <v>102</v>
      </c>
      <c r="B761" s="4" t="s">
        <v>26</v>
      </c>
      <c r="C761" s="4" t="str">
        <f t="shared" si="11"/>
        <v>สตูล|รย.1-นั่ง 2 ตอน</v>
      </c>
      <c r="D761" s="5"/>
    </row>
    <row r="762" spans="1:4" x14ac:dyDescent="0.3">
      <c r="A762" s="4" t="s">
        <v>102</v>
      </c>
      <c r="B762" s="4" t="s">
        <v>27</v>
      </c>
      <c r="C762" s="4" t="str">
        <f t="shared" si="11"/>
        <v>สตูล|รย.1-นั่ง 3 ตอน</v>
      </c>
      <c r="D762" s="5"/>
    </row>
    <row r="763" spans="1:4" x14ac:dyDescent="0.3">
      <c r="A763" s="4" t="s">
        <v>102</v>
      </c>
      <c r="B763" s="4" t="s">
        <v>28</v>
      </c>
      <c r="C763" s="4" t="str">
        <f t="shared" si="11"/>
        <v>สตูล|รย.2-นั่ง 2 แถว</v>
      </c>
      <c r="D763" s="5"/>
    </row>
    <row r="764" spans="1:4" x14ac:dyDescent="0.3">
      <c r="A764" s="4" t="s">
        <v>102</v>
      </c>
      <c r="B764" s="4" t="s">
        <v>29</v>
      </c>
      <c r="C764" s="4" t="str">
        <f t="shared" si="11"/>
        <v>สตูล|รย.2-นั่ง 4 ตอน</v>
      </c>
      <c r="D764" s="5"/>
    </row>
    <row r="765" spans="1:4" x14ac:dyDescent="0.3">
      <c r="A765" s="4" t="s">
        <v>102</v>
      </c>
      <c r="B765" s="4" t="s">
        <v>30</v>
      </c>
      <c r="C765" s="4" t="str">
        <f t="shared" si="11"/>
        <v>สตูล|รย.3-กระบะบรรทุก</v>
      </c>
      <c r="D765" s="5"/>
    </row>
    <row r="766" spans="1:4" x14ac:dyDescent="0.3">
      <c r="A766" s="4" t="s">
        <v>102</v>
      </c>
      <c r="B766" s="4" t="s">
        <v>31</v>
      </c>
      <c r="C766" s="4" t="str">
        <f t="shared" si="11"/>
        <v>สตูล|รย.3-กระบะบรรทุกมีหลังคา</v>
      </c>
      <c r="D766" s="5"/>
    </row>
    <row r="767" spans="1:4" x14ac:dyDescent="0.3">
      <c r="A767" s="4" t="s">
        <v>102</v>
      </c>
      <c r="B767" s="4" t="s">
        <v>32</v>
      </c>
      <c r="C767" s="4" t="str">
        <f t="shared" si="11"/>
        <v>สตูล|รย.3-กระบะบรรทุกมีหลังคาแหนบ</v>
      </c>
      <c r="D767" s="5"/>
    </row>
    <row r="768" spans="1:4" x14ac:dyDescent="0.3">
      <c r="A768" s="4" t="s">
        <v>102</v>
      </c>
      <c r="B768" s="4" t="s">
        <v>33</v>
      </c>
      <c r="C768" s="4" t="str">
        <f t="shared" si="11"/>
        <v>สตูล|รย.3-ตู้บรรทุก</v>
      </c>
      <c r="D768" s="5"/>
    </row>
    <row r="769" spans="1:4" x14ac:dyDescent="0.3">
      <c r="A769" s="4" t="s">
        <v>103</v>
      </c>
      <c r="B769" s="4" t="s">
        <v>19</v>
      </c>
      <c r="C769" s="4" t="str">
        <f t="shared" si="11"/>
        <v>สมุทรปราการ|รย.12-น้อยกว่า 300cc</v>
      </c>
      <c r="D769" s="5"/>
    </row>
    <row r="770" spans="1:4" x14ac:dyDescent="0.3">
      <c r="A770" s="4" t="s">
        <v>103</v>
      </c>
      <c r="B770" s="4" t="s">
        <v>21</v>
      </c>
      <c r="C770" s="4" t="str">
        <f t="shared" ref="C770:C833" si="12">A770&amp;"|"&amp;B770</f>
        <v>สมุทรปราการ|รย.12-300-799cc</v>
      </c>
      <c r="D770" s="5"/>
    </row>
    <row r="771" spans="1:4" x14ac:dyDescent="0.3">
      <c r="A771" s="4" t="s">
        <v>103</v>
      </c>
      <c r="B771" s="4" t="s">
        <v>22</v>
      </c>
      <c r="C771" s="4" t="str">
        <f t="shared" si="12"/>
        <v>สมุทรปราการ|รย.12-800-999cc</v>
      </c>
      <c r="D771" s="5"/>
    </row>
    <row r="772" spans="1:4" x14ac:dyDescent="0.3">
      <c r="A772" s="4" t="s">
        <v>103</v>
      </c>
      <c r="B772" s="4" t="s">
        <v>23</v>
      </c>
      <c r="C772" s="4" t="str">
        <f t="shared" si="12"/>
        <v>สมุทรปราการ|รย.12-1000cc ขึ้นไป</v>
      </c>
      <c r="D772" s="5"/>
    </row>
    <row r="773" spans="1:4" x14ac:dyDescent="0.3">
      <c r="A773" s="4" t="s">
        <v>103</v>
      </c>
      <c r="B773" s="4" t="s">
        <v>24</v>
      </c>
      <c r="C773" s="4" t="str">
        <f t="shared" si="12"/>
        <v>สมุทรปราการ|รย.1-เก๋ง 2 ตอน</v>
      </c>
      <c r="D773" s="5"/>
    </row>
    <row r="774" spans="1:4" x14ac:dyDescent="0.3">
      <c r="A774" s="4" t="s">
        <v>103</v>
      </c>
      <c r="B774" s="4" t="s">
        <v>26</v>
      </c>
      <c r="C774" s="4" t="str">
        <f t="shared" si="12"/>
        <v>สมุทรปราการ|รย.1-นั่ง 2 ตอน</v>
      </c>
      <c r="D774" s="5"/>
    </row>
    <row r="775" spans="1:4" x14ac:dyDescent="0.3">
      <c r="A775" s="4" t="s">
        <v>103</v>
      </c>
      <c r="B775" s="4" t="s">
        <v>27</v>
      </c>
      <c r="C775" s="4" t="str">
        <f t="shared" si="12"/>
        <v>สมุทรปราการ|รย.1-นั่ง 3 ตอน</v>
      </c>
      <c r="D775" s="5"/>
    </row>
    <row r="776" spans="1:4" x14ac:dyDescent="0.3">
      <c r="A776" s="4" t="s">
        <v>103</v>
      </c>
      <c r="B776" s="4" t="s">
        <v>28</v>
      </c>
      <c r="C776" s="4" t="str">
        <f t="shared" si="12"/>
        <v>สมุทรปราการ|รย.2-นั่ง 2 แถว</v>
      </c>
      <c r="D776" s="5"/>
    </row>
    <row r="777" spans="1:4" x14ac:dyDescent="0.3">
      <c r="A777" s="4" t="s">
        <v>103</v>
      </c>
      <c r="B777" s="4" t="s">
        <v>29</v>
      </c>
      <c r="C777" s="4" t="str">
        <f t="shared" si="12"/>
        <v>สมุทรปราการ|รย.2-นั่ง 4 ตอน</v>
      </c>
      <c r="D777" s="5"/>
    </row>
    <row r="778" spans="1:4" x14ac:dyDescent="0.3">
      <c r="A778" s="4" t="s">
        <v>103</v>
      </c>
      <c r="B778" s="4" t="s">
        <v>30</v>
      </c>
      <c r="C778" s="4" t="str">
        <f t="shared" si="12"/>
        <v>สมุทรปราการ|รย.3-กระบะบรรทุก</v>
      </c>
      <c r="D778" s="5"/>
    </row>
    <row r="779" spans="1:4" x14ac:dyDescent="0.3">
      <c r="A779" s="4" t="s">
        <v>103</v>
      </c>
      <c r="B779" s="4" t="s">
        <v>31</v>
      </c>
      <c r="C779" s="4" t="str">
        <f t="shared" si="12"/>
        <v>สมุทรปราการ|รย.3-กระบะบรรทุกมีหลังคา</v>
      </c>
      <c r="D779" s="5"/>
    </row>
    <row r="780" spans="1:4" x14ac:dyDescent="0.3">
      <c r="A780" s="4" t="s">
        <v>103</v>
      </c>
      <c r="B780" s="4" t="s">
        <v>32</v>
      </c>
      <c r="C780" s="4" t="str">
        <f t="shared" si="12"/>
        <v>สมุทรปราการ|รย.3-กระบะบรรทุกมีหลังคาแหนบ</v>
      </c>
      <c r="D780" s="5"/>
    </row>
    <row r="781" spans="1:4" x14ac:dyDescent="0.3">
      <c r="A781" s="4" t="s">
        <v>103</v>
      </c>
      <c r="B781" s="4" t="s">
        <v>33</v>
      </c>
      <c r="C781" s="4" t="str">
        <f t="shared" si="12"/>
        <v>สมุทรปราการ|รย.3-ตู้บรรทุก</v>
      </c>
      <c r="D781" s="5"/>
    </row>
    <row r="782" spans="1:4" x14ac:dyDescent="0.3">
      <c r="A782" s="4" t="s">
        <v>104</v>
      </c>
      <c r="B782" s="4" t="s">
        <v>19</v>
      </c>
      <c r="C782" s="4" t="str">
        <f t="shared" si="12"/>
        <v>สมุทรสงคราม|รย.12-น้อยกว่า 300cc</v>
      </c>
      <c r="D782" s="5"/>
    </row>
    <row r="783" spans="1:4" x14ac:dyDescent="0.3">
      <c r="A783" s="4" t="s">
        <v>104</v>
      </c>
      <c r="B783" s="4" t="s">
        <v>21</v>
      </c>
      <c r="C783" s="4" t="str">
        <f t="shared" si="12"/>
        <v>สมุทรสงคราม|รย.12-300-799cc</v>
      </c>
      <c r="D783" s="5"/>
    </row>
    <row r="784" spans="1:4" x14ac:dyDescent="0.3">
      <c r="A784" s="4" t="s">
        <v>104</v>
      </c>
      <c r="B784" s="4" t="s">
        <v>22</v>
      </c>
      <c r="C784" s="4" t="str">
        <f t="shared" si="12"/>
        <v>สมุทรสงคราม|รย.12-800-999cc</v>
      </c>
      <c r="D784" s="5"/>
    </row>
    <row r="785" spans="1:4" x14ac:dyDescent="0.3">
      <c r="A785" s="4" t="s">
        <v>104</v>
      </c>
      <c r="B785" s="4" t="s">
        <v>23</v>
      </c>
      <c r="C785" s="4" t="str">
        <f t="shared" si="12"/>
        <v>สมุทรสงคราม|รย.12-1000cc ขึ้นไป</v>
      </c>
      <c r="D785" s="5"/>
    </row>
    <row r="786" spans="1:4" x14ac:dyDescent="0.3">
      <c r="A786" s="4" t="s">
        <v>104</v>
      </c>
      <c r="B786" s="4" t="s">
        <v>24</v>
      </c>
      <c r="C786" s="4" t="str">
        <f t="shared" si="12"/>
        <v>สมุทรสงคราม|รย.1-เก๋ง 2 ตอน</v>
      </c>
      <c r="D786" s="5"/>
    </row>
    <row r="787" spans="1:4" x14ac:dyDescent="0.3">
      <c r="A787" s="4" t="s">
        <v>104</v>
      </c>
      <c r="B787" s="4" t="s">
        <v>26</v>
      </c>
      <c r="C787" s="4" t="str">
        <f t="shared" si="12"/>
        <v>สมุทรสงคราม|รย.1-นั่ง 2 ตอน</v>
      </c>
      <c r="D787" s="5"/>
    </row>
    <row r="788" spans="1:4" x14ac:dyDescent="0.3">
      <c r="A788" s="4" t="s">
        <v>104</v>
      </c>
      <c r="B788" s="4" t="s">
        <v>27</v>
      </c>
      <c r="C788" s="4" t="str">
        <f t="shared" si="12"/>
        <v>สมุทรสงคราม|รย.1-นั่ง 3 ตอน</v>
      </c>
      <c r="D788" s="5"/>
    </row>
    <row r="789" spans="1:4" x14ac:dyDescent="0.3">
      <c r="A789" s="4" t="s">
        <v>104</v>
      </c>
      <c r="B789" s="4" t="s">
        <v>28</v>
      </c>
      <c r="C789" s="4" t="str">
        <f t="shared" si="12"/>
        <v>สมุทรสงคราม|รย.2-นั่ง 2 แถว</v>
      </c>
      <c r="D789" s="5"/>
    </row>
    <row r="790" spans="1:4" x14ac:dyDescent="0.3">
      <c r="A790" s="4" t="s">
        <v>104</v>
      </c>
      <c r="B790" s="4" t="s">
        <v>29</v>
      </c>
      <c r="C790" s="4" t="str">
        <f t="shared" si="12"/>
        <v>สมุทรสงคราม|รย.2-นั่ง 4 ตอน</v>
      </c>
      <c r="D790" s="5"/>
    </row>
    <row r="791" spans="1:4" x14ac:dyDescent="0.3">
      <c r="A791" s="4" t="s">
        <v>104</v>
      </c>
      <c r="B791" s="4" t="s">
        <v>30</v>
      </c>
      <c r="C791" s="4" t="str">
        <f t="shared" si="12"/>
        <v>สมุทรสงคราม|รย.3-กระบะบรรทุก</v>
      </c>
      <c r="D791" s="5"/>
    </row>
    <row r="792" spans="1:4" x14ac:dyDescent="0.3">
      <c r="A792" s="4" t="s">
        <v>104</v>
      </c>
      <c r="B792" s="4" t="s">
        <v>31</v>
      </c>
      <c r="C792" s="4" t="str">
        <f t="shared" si="12"/>
        <v>สมุทรสงคราม|รย.3-กระบะบรรทุกมีหลังคา</v>
      </c>
      <c r="D792" s="5"/>
    </row>
    <row r="793" spans="1:4" x14ac:dyDescent="0.3">
      <c r="A793" s="4" t="s">
        <v>104</v>
      </c>
      <c r="B793" s="4" t="s">
        <v>32</v>
      </c>
      <c r="C793" s="4" t="str">
        <f t="shared" si="12"/>
        <v>สมุทรสงคราม|รย.3-กระบะบรรทุกมีหลังคาแหนบ</v>
      </c>
      <c r="D793" s="5"/>
    </row>
    <row r="794" spans="1:4" x14ac:dyDescent="0.3">
      <c r="A794" s="4" t="s">
        <v>104</v>
      </c>
      <c r="B794" s="4" t="s">
        <v>33</v>
      </c>
      <c r="C794" s="4" t="str">
        <f t="shared" si="12"/>
        <v>สมุทรสงคราม|รย.3-ตู้บรรทุก</v>
      </c>
      <c r="D794" s="5"/>
    </row>
    <row r="795" spans="1:4" x14ac:dyDescent="0.3">
      <c r="A795" s="4" t="s">
        <v>105</v>
      </c>
      <c r="B795" s="4" t="s">
        <v>19</v>
      </c>
      <c r="C795" s="4" t="str">
        <f t="shared" si="12"/>
        <v>สมุทรสาคร|รย.12-น้อยกว่า 300cc</v>
      </c>
      <c r="D795" s="5"/>
    </row>
    <row r="796" spans="1:4" x14ac:dyDescent="0.3">
      <c r="A796" s="4" t="s">
        <v>105</v>
      </c>
      <c r="B796" s="4" t="s">
        <v>21</v>
      </c>
      <c r="C796" s="4" t="str">
        <f t="shared" si="12"/>
        <v>สมุทรสาคร|รย.12-300-799cc</v>
      </c>
      <c r="D796" s="5"/>
    </row>
    <row r="797" spans="1:4" x14ac:dyDescent="0.3">
      <c r="A797" s="4" t="s">
        <v>105</v>
      </c>
      <c r="B797" s="4" t="s">
        <v>22</v>
      </c>
      <c r="C797" s="4" t="str">
        <f t="shared" si="12"/>
        <v>สมุทรสาคร|รย.12-800-999cc</v>
      </c>
      <c r="D797" s="5"/>
    </row>
    <row r="798" spans="1:4" x14ac:dyDescent="0.3">
      <c r="A798" s="4" t="s">
        <v>105</v>
      </c>
      <c r="B798" s="4" t="s">
        <v>23</v>
      </c>
      <c r="C798" s="4" t="str">
        <f t="shared" si="12"/>
        <v>สมุทรสาคร|รย.12-1000cc ขึ้นไป</v>
      </c>
      <c r="D798" s="5"/>
    </row>
    <row r="799" spans="1:4" x14ac:dyDescent="0.3">
      <c r="A799" s="4" t="s">
        <v>105</v>
      </c>
      <c r="B799" s="4" t="s">
        <v>24</v>
      </c>
      <c r="C799" s="4" t="str">
        <f t="shared" si="12"/>
        <v>สมุทรสาคร|รย.1-เก๋ง 2 ตอน</v>
      </c>
      <c r="D799" s="5"/>
    </row>
    <row r="800" spans="1:4" x14ac:dyDescent="0.3">
      <c r="A800" s="4" t="s">
        <v>105</v>
      </c>
      <c r="B800" s="4" t="s">
        <v>26</v>
      </c>
      <c r="C800" s="4" t="str">
        <f t="shared" si="12"/>
        <v>สมุทรสาคร|รย.1-นั่ง 2 ตอน</v>
      </c>
      <c r="D800" s="5"/>
    </row>
    <row r="801" spans="1:4" x14ac:dyDescent="0.3">
      <c r="A801" s="4" t="s">
        <v>105</v>
      </c>
      <c r="B801" s="4" t="s">
        <v>27</v>
      </c>
      <c r="C801" s="4" t="str">
        <f t="shared" si="12"/>
        <v>สมุทรสาคร|รย.1-นั่ง 3 ตอน</v>
      </c>
      <c r="D801" s="5"/>
    </row>
    <row r="802" spans="1:4" x14ac:dyDescent="0.3">
      <c r="A802" s="4" t="s">
        <v>105</v>
      </c>
      <c r="B802" s="4" t="s">
        <v>28</v>
      </c>
      <c r="C802" s="4" t="str">
        <f t="shared" si="12"/>
        <v>สมุทรสาคร|รย.2-นั่ง 2 แถว</v>
      </c>
      <c r="D802" s="5"/>
    </row>
    <row r="803" spans="1:4" x14ac:dyDescent="0.3">
      <c r="A803" s="4" t="s">
        <v>105</v>
      </c>
      <c r="B803" s="4" t="s">
        <v>29</v>
      </c>
      <c r="C803" s="4" t="str">
        <f t="shared" si="12"/>
        <v>สมุทรสาคร|รย.2-นั่ง 4 ตอน</v>
      </c>
      <c r="D803" s="5"/>
    </row>
    <row r="804" spans="1:4" x14ac:dyDescent="0.3">
      <c r="A804" s="4" t="s">
        <v>105</v>
      </c>
      <c r="B804" s="4" t="s">
        <v>30</v>
      </c>
      <c r="C804" s="4" t="str">
        <f t="shared" si="12"/>
        <v>สมุทรสาคร|รย.3-กระบะบรรทุก</v>
      </c>
      <c r="D804" s="5"/>
    </row>
    <row r="805" spans="1:4" x14ac:dyDescent="0.3">
      <c r="A805" s="4" t="s">
        <v>105</v>
      </c>
      <c r="B805" s="4" t="s">
        <v>31</v>
      </c>
      <c r="C805" s="4" t="str">
        <f t="shared" si="12"/>
        <v>สมุทรสาคร|รย.3-กระบะบรรทุกมีหลังคา</v>
      </c>
      <c r="D805" s="5"/>
    </row>
    <row r="806" spans="1:4" x14ac:dyDescent="0.3">
      <c r="A806" s="4" t="s">
        <v>105</v>
      </c>
      <c r="B806" s="4" t="s">
        <v>32</v>
      </c>
      <c r="C806" s="4" t="str">
        <f t="shared" si="12"/>
        <v>สมุทรสาคร|รย.3-กระบะบรรทุกมีหลังคาแหนบ</v>
      </c>
      <c r="D806" s="5"/>
    </row>
    <row r="807" spans="1:4" x14ac:dyDescent="0.3">
      <c r="A807" s="4" t="s">
        <v>105</v>
      </c>
      <c r="B807" s="4" t="s">
        <v>33</v>
      </c>
      <c r="C807" s="4" t="str">
        <f t="shared" si="12"/>
        <v>สมุทรสาคร|รย.3-ตู้บรรทุก</v>
      </c>
      <c r="D807" s="5"/>
    </row>
    <row r="808" spans="1:4" x14ac:dyDescent="0.3">
      <c r="A808" s="4" t="s">
        <v>106</v>
      </c>
      <c r="B808" s="4" t="s">
        <v>19</v>
      </c>
      <c r="C808" s="4" t="str">
        <f t="shared" si="12"/>
        <v>สระแก้ว|รย.12-น้อยกว่า 300cc</v>
      </c>
      <c r="D808" s="5"/>
    </row>
    <row r="809" spans="1:4" x14ac:dyDescent="0.3">
      <c r="A809" s="4" t="s">
        <v>106</v>
      </c>
      <c r="B809" s="4" t="s">
        <v>21</v>
      </c>
      <c r="C809" s="4" t="str">
        <f t="shared" si="12"/>
        <v>สระแก้ว|รย.12-300-799cc</v>
      </c>
      <c r="D809" s="5"/>
    </row>
    <row r="810" spans="1:4" x14ac:dyDescent="0.3">
      <c r="A810" s="4" t="s">
        <v>106</v>
      </c>
      <c r="B810" s="4" t="s">
        <v>22</v>
      </c>
      <c r="C810" s="4" t="str">
        <f t="shared" si="12"/>
        <v>สระแก้ว|รย.12-800-999cc</v>
      </c>
      <c r="D810" s="5"/>
    </row>
    <row r="811" spans="1:4" x14ac:dyDescent="0.3">
      <c r="A811" s="4" t="s">
        <v>106</v>
      </c>
      <c r="B811" s="4" t="s">
        <v>23</v>
      </c>
      <c r="C811" s="4" t="str">
        <f t="shared" si="12"/>
        <v>สระแก้ว|รย.12-1000cc ขึ้นไป</v>
      </c>
      <c r="D811" s="5"/>
    </row>
    <row r="812" spans="1:4" x14ac:dyDescent="0.3">
      <c r="A812" s="4" t="s">
        <v>106</v>
      </c>
      <c r="B812" s="4" t="s">
        <v>24</v>
      </c>
      <c r="C812" s="4" t="str">
        <f t="shared" si="12"/>
        <v>สระแก้ว|รย.1-เก๋ง 2 ตอน</v>
      </c>
      <c r="D812" s="5"/>
    </row>
    <row r="813" spans="1:4" x14ac:dyDescent="0.3">
      <c r="A813" s="4" t="s">
        <v>106</v>
      </c>
      <c r="B813" s="4" t="s">
        <v>26</v>
      </c>
      <c r="C813" s="4" t="str">
        <f t="shared" si="12"/>
        <v>สระแก้ว|รย.1-นั่ง 2 ตอน</v>
      </c>
      <c r="D813" s="5"/>
    </row>
    <row r="814" spans="1:4" x14ac:dyDescent="0.3">
      <c r="A814" s="4" t="s">
        <v>106</v>
      </c>
      <c r="B814" s="4" t="s">
        <v>27</v>
      </c>
      <c r="C814" s="4" t="str">
        <f t="shared" si="12"/>
        <v>สระแก้ว|รย.1-นั่ง 3 ตอน</v>
      </c>
      <c r="D814" s="5"/>
    </row>
    <row r="815" spans="1:4" x14ac:dyDescent="0.3">
      <c r="A815" s="4" t="s">
        <v>106</v>
      </c>
      <c r="B815" s="4" t="s">
        <v>28</v>
      </c>
      <c r="C815" s="4" t="str">
        <f t="shared" si="12"/>
        <v>สระแก้ว|รย.2-นั่ง 2 แถว</v>
      </c>
      <c r="D815" s="5"/>
    </row>
    <row r="816" spans="1:4" x14ac:dyDescent="0.3">
      <c r="A816" s="4" t="s">
        <v>106</v>
      </c>
      <c r="B816" s="4" t="s">
        <v>29</v>
      </c>
      <c r="C816" s="4" t="str">
        <f t="shared" si="12"/>
        <v>สระแก้ว|รย.2-นั่ง 4 ตอน</v>
      </c>
      <c r="D816" s="5"/>
    </row>
    <row r="817" spans="1:4" x14ac:dyDescent="0.3">
      <c r="A817" s="4" t="s">
        <v>106</v>
      </c>
      <c r="B817" s="4" t="s">
        <v>30</v>
      </c>
      <c r="C817" s="4" t="str">
        <f t="shared" si="12"/>
        <v>สระแก้ว|รย.3-กระบะบรรทุก</v>
      </c>
      <c r="D817" s="5"/>
    </row>
    <row r="818" spans="1:4" x14ac:dyDescent="0.3">
      <c r="A818" s="4" t="s">
        <v>106</v>
      </c>
      <c r="B818" s="4" t="s">
        <v>31</v>
      </c>
      <c r="C818" s="4" t="str">
        <f t="shared" si="12"/>
        <v>สระแก้ว|รย.3-กระบะบรรทุกมีหลังคา</v>
      </c>
      <c r="D818" s="5"/>
    </row>
    <row r="819" spans="1:4" x14ac:dyDescent="0.3">
      <c r="A819" s="4" t="s">
        <v>106</v>
      </c>
      <c r="B819" s="4" t="s">
        <v>32</v>
      </c>
      <c r="C819" s="4" t="str">
        <f t="shared" si="12"/>
        <v>สระแก้ว|รย.3-กระบะบรรทุกมีหลังคาแหนบ</v>
      </c>
      <c r="D819" s="5"/>
    </row>
    <row r="820" spans="1:4" x14ac:dyDescent="0.3">
      <c r="A820" s="4" t="s">
        <v>106</v>
      </c>
      <c r="B820" s="4" t="s">
        <v>33</v>
      </c>
      <c r="C820" s="4" t="str">
        <f t="shared" si="12"/>
        <v>สระแก้ว|รย.3-ตู้บรรทุก</v>
      </c>
      <c r="D820" s="5"/>
    </row>
    <row r="821" spans="1:4" x14ac:dyDescent="0.3">
      <c r="A821" s="4" t="s">
        <v>107</v>
      </c>
      <c r="B821" s="4" t="s">
        <v>19</v>
      </c>
      <c r="C821" s="4" t="str">
        <f t="shared" si="12"/>
        <v>สระบุรี|รย.12-น้อยกว่า 300cc</v>
      </c>
      <c r="D821" s="5"/>
    </row>
    <row r="822" spans="1:4" x14ac:dyDescent="0.3">
      <c r="A822" s="4" t="s">
        <v>107</v>
      </c>
      <c r="B822" s="4" t="s">
        <v>21</v>
      </c>
      <c r="C822" s="4" t="str">
        <f t="shared" si="12"/>
        <v>สระบุรี|รย.12-300-799cc</v>
      </c>
      <c r="D822" s="5"/>
    </row>
    <row r="823" spans="1:4" x14ac:dyDescent="0.3">
      <c r="A823" s="4" t="s">
        <v>107</v>
      </c>
      <c r="B823" s="4" t="s">
        <v>22</v>
      </c>
      <c r="C823" s="4" t="str">
        <f t="shared" si="12"/>
        <v>สระบุรี|รย.12-800-999cc</v>
      </c>
      <c r="D823" s="5"/>
    </row>
    <row r="824" spans="1:4" x14ac:dyDescent="0.3">
      <c r="A824" s="4" t="s">
        <v>107</v>
      </c>
      <c r="B824" s="4" t="s">
        <v>23</v>
      </c>
      <c r="C824" s="4" t="str">
        <f t="shared" si="12"/>
        <v>สระบุรี|รย.12-1000cc ขึ้นไป</v>
      </c>
      <c r="D824" s="5"/>
    </row>
    <row r="825" spans="1:4" x14ac:dyDescent="0.3">
      <c r="A825" s="4" t="s">
        <v>107</v>
      </c>
      <c r="B825" s="4" t="s">
        <v>24</v>
      </c>
      <c r="C825" s="4" t="str">
        <f t="shared" si="12"/>
        <v>สระบุรี|รย.1-เก๋ง 2 ตอน</v>
      </c>
      <c r="D825" s="5"/>
    </row>
    <row r="826" spans="1:4" x14ac:dyDescent="0.3">
      <c r="A826" s="4" t="s">
        <v>107</v>
      </c>
      <c r="B826" s="4" t="s">
        <v>26</v>
      </c>
      <c r="C826" s="4" t="str">
        <f t="shared" si="12"/>
        <v>สระบุรี|รย.1-นั่ง 2 ตอน</v>
      </c>
      <c r="D826" s="5"/>
    </row>
    <row r="827" spans="1:4" x14ac:dyDescent="0.3">
      <c r="A827" s="4" t="s">
        <v>107</v>
      </c>
      <c r="B827" s="4" t="s">
        <v>27</v>
      </c>
      <c r="C827" s="4" t="str">
        <f t="shared" si="12"/>
        <v>สระบุรี|รย.1-นั่ง 3 ตอน</v>
      </c>
      <c r="D827" s="5"/>
    </row>
    <row r="828" spans="1:4" x14ac:dyDescent="0.3">
      <c r="A828" s="4" t="s">
        <v>107</v>
      </c>
      <c r="B828" s="4" t="s">
        <v>28</v>
      </c>
      <c r="C828" s="4" t="str">
        <f t="shared" si="12"/>
        <v>สระบุรี|รย.2-นั่ง 2 แถว</v>
      </c>
      <c r="D828" s="5"/>
    </row>
    <row r="829" spans="1:4" x14ac:dyDescent="0.3">
      <c r="A829" s="4" t="s">
        <v>107</v>
      </c>
      <c r="B829" s="4" t="s">
        <v>29</v>
      </c>
      <c r="C829" s="4" t="str">
        <f t="shared" si="12"/>
        <v>สระบุรี|รย.2-นั่ง 4 ตอน</v>
      </c>
      <c r="D829" s="5"/>
    </row>
    <row r="830" spans="1:4" x14ac:dyDescent="0.3">
      <c r="A830" s="4" t="s">
        <v>107</v>
      </c>
      <c r="B830" s="4" t="s">
        <v>30</v>
      </c>
      <c r="C830" s="4" t="str">
        <f t="shared" si="12"/>
        <v>สระบุรี|รย.3-กระบะบรรทุก</v>
      </c>
      <c r="D830" s="5"/>
    </row>
    <row r="831" spans="1:4" x14ac:dyDescent="0.3">
      <c r="A831" s="4" t="s">
        <v>107</v>
      </c>
      <c r="B831" s="4" t="s">
        <v>31</v>
      </c>
      <c r="C831" s="4" t="str">
        <f t="shared" si="12"/>
        <v>สระบุรี|รย.3-กระบะบรรทุกมีหลังคา</v>
      </c>
      <c r="D831" s="5"/>
    </row>
    <row r="832" spans="1:4" x14ac:dyDescent="0.3">
      <c r="A832" s="4" t="s">
        <v>107</v>
      </c>
      <c r="B832" s="4" t="s">
        <v>32</v>
      </c>
      <c r="C832" s="4" t="str">
        <f t="shared" si="12"/>
        <v>สระบุรี|รย.3-กระบะบรรทุกมีหลังคาแหนบ</v>
      </c>
      <c r="D832" s="5"/>
    </row>
    <row r="833" spans="1:4" x14ac:dyDescent="0.3">
      <c r="A833" s="4" t="s">
        <v>107</v>
      </c>
      <c r="B833" s="4" t="s">
        <v>33</v>
      </c>
      <c r="C833" s="4" t="str">
        <f t="shared" si="12"/>
        <v>สระบุรี|รย.3-ตู้บรรทุก</v>
      </c>
      <c r="D833" s="5"/>
    </row>
    <row r="834" spans="1:4" x14ac:dyDescent="0.3">
      <c r="A834" s="4" t="s">
        <v>108</v>
      </c>
      <c r="B834" s="4" t="s">
        <v>19</v>
      </c>
      <c r="C834" s="4" t="str">
        <f t="shared" ref="C834:C897" si="13">A834&amp;"|"&amp;B834</f>
        <v>สิงห์บุรี|รย.12-น้อยกว่า 300cc</v>
      </c>
      <c r="D834" s="5"/>
    </row>
    <row r="835" spans="1:4" x14ac:dyDescent="0.3">
      <c r="A835" s="4" t="s">
        <v>108</v>
      </c>
      <c r="B835" s="4" t="s">
        <v>21</v>
      </c>
      <c r="C835" s="4" t="str">
        <f t="shared" si="13"/>
        <v>สิงห์บุรี|รย.12-300-799cc</v>
      </c>
      <c r="D835" s="5"/>
    </row>
    <row r="836" spans="1:4" x14ac:dyDescent="0.3">
      <c r="A836" s="4" t="s">
        <v>108</v>
      </c>
      <c r="B836" s="4" t="s">
        <v>22</v>
      </c>
      <c r="C836" s="4" t="str">
        <f t="shared" si="13"/>
        <v>สิงห์บุรี|รย.12-800-999cc</v>
      </c>
      <c r="D836" s="5"/>
    </row>
    <row r="837" spans="1:4" x14ac:dyDescent="0.3">
      <c r="A837" s="4" t="s">
        <v>108</v>
      </c>
      <c r="B837" s="4" t="s">
        <v>23</v>
      </c>
      <c r="C837" s="4" t="str">
        <f t="shared" si="13"/>
        <v>สิงห์บุรี|รย.12-1000cc ขึ้นไป</v>
      </c>
      <c r="D837" s="5"/>
    </row>
    <row r="838" spans="1:4" x14ac:dyDescent="0.3">
      <c r="A838" s="4" t="s">
        <v>108</v>
      </c>
      <c r="B838" s="4" t="s">
        <v>24</v>
      </c>
      <c r="C838" s="4" t="str">
        <f t="shared" si="13"/>
        <v>สิงห์บุรี|รย.1-เก๋ง 2 ตอน</v>
      </c>
      <c r="D838" s="5"/>
    </row>
    <row r="839" spans="1:4" x14ac:dyDescent="0.3">
      <c r="A839" s="4" t="s">
        <v>108</v>
      </c>
      <c r="B839" s="4" t="s">
        <v>26</v>
      </c>
      <c r="C839" s="4" t="str">
        <f t="shared" si="13"/>
        <v>สิงห์บุรี|รย.1-นั่ง 2 ตอน</v>
      </c>
      <c r="D839" s="5"/>
    </row>
    <row r="840" spans="1:4" x14ac:dyDescent="0.3">
      <c r="A840" s="4" t="s">
        <v>108</v>
      </c>
      <c r="B840" s="4" t="s">
        <v>27</v>
      </c>
      <c r="C840" s="4" t="str">
        <f t="shared" si="13"/>
        <v>สิงห์บุรี|รย.1-นั่ง 3 ตอน</v>
      </c>
      <c r="D840" s="5"/>
    </row>
    <row r="841" spans="1:4" x14ac:dyDescent="0.3">
      <c r="A841" s="4" t="s">
        <v>108</v>
      </c>
      <c r="B841" s="4" t="s">
        <v>28</v>
      </c>
      <c r="C841" s="4" t="str">
        <f t="shared" si="13"/>
        <v>สิงห์บุรี|รย.2-นั่ง 2 แถว</v>
      </c>
      <c r="D841" s="5"/>
    </row>
    <row r="842" spans="1:4" x14ac:dyDescent="0.3">
      <c r="A842" s="4" t="s">
        <v>108</v>
      </c>
      <c r="B842" s="4" t="s">
        <v>29</v>
      </c>
      <c r="C842" s="4" t="str">
        <f t="shared" si="13"/>
        <v>สิงห์บุรี|รย.2-นั่ง 4 ตอน</v>
      </c>
      <c r="D842" s="5"/>
    </row>
    <row r="843" spans="1:4" x14ac:dyDescent="0.3">
      <c r="A843" s="4" t="s">
        <v>108</v>
      </c>
      <c r="B843" s="4" t="s">
        <v>30</v>
      </c>
      <c r="C843" s="4" t="str">
        <f t="shared" si="13"/>
        <v>สิงห์บุรี|รย.3-กระบะบรรทุก</v>
      </c>
      <c r="D843" s="5"/>
    </row>
    <row r="844" spans="1:4" x14ac:dyDescent="0.3">
      <c r="A844" s="4" t="s">
        <v>108</v>
      </c>
      <c r="B844" s="4" t="s">
        <v>31</v>
      </c>
      <c r="C844" s="4" t="str">
        <f t="shared" si="13"/>
        <v>สิงห์บุรี|รย.3-กระบะบรรทุกมีหลังคา</v>
      </c>
      <c r="D844" s="5"/>
    </row>
    <row r="845" spans="1:4" x14ac:dyDescent="0.3">
      <c r="A845" s="4" t="s">
        <v>108</v>
      </c>
      <c r="B845" s="4" t="s">
        <v>32</v>
      </c>
      <c r="C845" s="4" t="str">
        <f t="shared" si="13"/>
        <v>สิงห์บุรี|รย.3-กระบะบรรทุกมีหลังคาแหนบ</v>
      </c>
      <c r="D845" s="5"/>
    </row>
    <row r="846" spans="1:4" x14ac:dyDescent="0.3">
      <c r="A846" s="4" t="s">
        <v>108</v>
      </c>
      <c r="B846" s="4" t="s">
        <v>33</v>
      </c>
      <c r="C846" s="4" t="str">
        <f t="shared" si="13"/>
        <v>สิงห์บุรี|รย.3-ตู้บรรทุก</v>
      </c>
      <c r="D846" s="5"/>
    </row>
    <row r="847" spans="1:4" x14ac:dyDescent="0.3">
      <c r="A847" s="4" t="s">
        <v>109</v>
      </c>
      <c r="B847" s="4" t="s">
        <v>19</v>
      </c>
      <c r="C847" s="4" t="str">
        <f t="shared" si="13"/>
        <v>สุโขทัย|รย.12-น้อยกว่า 300cc</v>
      </c>
      <c r="D847" s="5"/>
    </row>
    <row r="848" spans="1:4" x14ac:dyDescent="0.3">
      <c r="A848" s="4" t="s">
        <v>109</v>
      </c>
      <c r="B848" s="4" t="s">
        <v>21</v>
      </c>
      <c r="C848" s="4" t="str">
        <f t="shared" si="13"/>
        <v>สุโขทัย|รย.12-300-799cc</v>
      </c>
      <c r="D848" s="5"/>
    </row>
    <row r="849" spans="1:4" x14ac:dyDescent="0.3">
      <c r="A849" s="4" t="s">
        <v>109</v>
      </c>
      <c r="B849" s="4" t="s">
        <v>22</v>
      </c>
      <c r="C849" s="4" t="str">
        <f t="shared" si="13"/>
        <v>สุโขทัย|รย.12-800-999cc</v>
      </c>
      <c r="D849" s="5"/>
    </row>
    <row r="850" spans="1:4" x14ac:dyDescent="0.3">
      <c r="A850" s="4" t="s">
        <v>109</v>
      </c>
      <c r="B850" s="4" t="s">
        <v>23</v>
      </c>
      <c r="C850" s="4" t="str">
        <f t="shared" si="13"/>
        <v>สุโขทัย|รย.12-1000cc ขึ้นไป</v>
      </c>
      <c r="D850" s="5"/>
    </row>
    <row r="851" spans="1:4" x14ac:dyDescent="0.3">
      <c r="A851" s="4" t="s">
        <v>109</v>
      </c>
      <c r="B851" s="4" t="s">
        <v>24</v>
      </c>
      <c r="C851" s="4" t="str">
        <f t="shared" si="13"/>
        <v>สุโขทัย|รย.1-เก๋ง 2 ตอน</v>
      </c>
      <c r="D851" s="5"/>
    </row>
    <row r="852" spans="1:4" x14ac:dyDescent="0.3">
      <c r="A852" s="4" t="s">
        <v>109</v>
      </c>
      <c r="B852" s="4" t="s">
        <v>26</v>
      </c>
      <c r="C852" s="4" t="str">
        <f t="shared" si="13"/>
        <v>สุโขทัย|รย.1-นั่ง 2 ตอน</v>
      </c>
      <c r="D852" s="5"/>
    </row>
    <row r="853" spans="1:4" x14ac:dyDescent="0.3">
      <c r="A853" s="4" t="s">
        <v>109</v>
      </c>
      <c r="B853" s="4" t="s">
        <v>27</v>
      </c>
      <c r="C853" s="4" t="str">
        <f t="shared" si="13"/>
        <v>สุโขทัย|รย.1-นั่ง 3 ตอน</v>
      </c>
      <c r="D853" s="5"/>
    </row>
    <row r="854" spans="1:4" x14ac:dyDescent="0.3">
      <c r="A854" s="4" t="s">
        <v>109</v>
      </c>
      <c r="B854" s="4" t="s">
        <v>28</v>
      </c>
      <c r="C854" s="4" t="str">
        <f t="shared" si="13"/>
        <v>สุโขทัย|รย.2-นั่ง 2 แถว</v>
      </c>
      <c r="D854" s="5"/>
    </row>
    <row r="855" spans="1:4" x14ac:dyDescent="0.3">
      <c r="A855" s="4" t="s">
        <v>109</v>
      </c>
      <c r="B855" s="4" t="s">
        <v>29</v>
      </c>
      <c r="C855" s="4" t="str">
        <f t="shared" si="13"/>
        <v>สุโขทัย|รย.2-นั่ง 4 ตอน</v>
      </c>
      <c r="D855" s="5"/>
    </row>
    <row r="856" spans="1:4" x14ac:dyDescent="0.3">
      <c r="A856" s="4" t="s">
        <v>109</v>
      </c>
      <c r="B856" s="4" t="s">
        <v>30</v>
      </c>
      <c r="C856" s="4" t="str">
        <f t="shared" si="13"/>
        <v>สุโขทัย|รย.3-กระบะบรรทุก</v>
      </c>
      <c r="D856" s="5"/>
    </row>
    <row r="857" spans="1:4" x14ac:dyDescent="0.3">
      <c r="A857" s="4" t="s">
        <v>109</v>
      </c>
      <c r="B857" s="4" t="s">
        <v>31</v>
      </c>
      <c r="C857" s="4" t="str">
        <f t="shared" si="13"/>
        <v>สุโขทัย|รย.3-กระบะบรรทุกมีหลังคา</v>
      </c>
      <c r="D857" s="5"/>
    </row>
    <row r="858" spans="1:4" x14ac:dyDescent="0.3">
      <c r="A858" s="4" t="s">
        <v>109</v>
      </c>
      <c r="B858" s="4" t="s">
        <v>32</v>
      </c>
      <c r="C858" s="4" t="str">
        <f t="shared" si="13"/>
        <v>สุโขทัย|รย.3-กระบะบรรทุกมีหลังคาแหนบ</v>
      </c>
      <c r="D858" s="5"/>
    </row>
    <row r="859" spans="1:4" x14ac:dyDescent="0.3">
      <c r="A859" s="4" t="s">
        <v>109</v>
      </c>
      <c r="B859" s="4" t="s">
        <v>33</v>
      </c>
      <c r="C859" s="4" t="str">
        <f t="shared" si="13"/>
        <v>สุโขทัย|รย.3-ตู้บรรทุก</v>
      </c>
      <c r="D859" s="5"/>
    </row>
    <row r="860" spans="1:4" x14ac:dyDescent="0.3">
      <c r="A860" s="4" t="s">
        <v>110</v>
      </c>
      <c r="B860" s="4" t="s">
        <v>19</v>
      </c>
      <c r="C860" s="4" t="str">
        <f t="shared" si="13"/>
        <v>สุพรรณบุรี|รย.12-น้อยกว่า 300cc</v>
      </c>
      <c r="D860" s="5"/>
    </row>
    <row r="861" spans="1:4" x14ac:dyDescent="0.3">
      <c r="A861" s="4" t="s">
        <v>110</v>
      </c>
      <c r="B861" s="4" t="s">
        <v>21</v>
      </c>
      <c r="C861" s="4" t="str">
        <f t="shared" si="13"/>
        <v>สุพรรณบุรี|รย.12-300-799cc</v>
      </c>
      <c r="D861" s="5"/>
    </row>
    <row r="862" spans="1:4" x14ac:dyDescent="0.3">
      <c r="A862" s="4" t="s">
        <v>110</v>
      </c>
      <c r="B862" s="4" t="s">
        <v>22</v>
      </c>
      <c r="C862" s="4" t="str">
        <f t="shared" si="13"/>
        <v>สุพรรณบุรี|รย.12-800-999cc</v>
      </c>
      <c r="D862" s="5"/>
    </row>
    <row r="863" spans="1:4" x14ac:dyDescent="0.3">
      <c r="A863" s="4" t="s">
        <v>110</v>
      </c>
      <c r="B863" s="4" t="s">
        <v>23</v>
      </c>
      <c r="C863" s="4" t="str">
        <f t="shared" si="13"/>
        <v>สุพรรณบุรี|รย.12-1000cc ขึ้นไป</v>
      </c>
      <c r="D863" s="5"/>
    </row>
    <row r="864" spans="1:4" x14ac:dyDescent="0.3">
      <c r="A864" s="4" t="s">
        <v>110</v>
      </c>
      <c r="B864" s="4" t="s">
        <v>24</v>
      </c>
      <c r="C864" s="4" t="str">
        <f t="shared" si="13"/>
        <v>สุพรรณบุรี|รย.1-เก๋ง 2 ตอน</v>
      </c>
      <c r="D864" s="5"/>
    </row>
    <row r="865" spans="1:4" x14ac:dyDescent="0.3">
      <c r="A865" s="4" t="s">
        <v>110</v>
      </c>
      <c r="B865" s="4" t="s">
        <v>26</v>
      </c>
      <c r="C865" s="4" t="str">
        <f t="shared" si="13"/>
        <v>สุพรรณบุรี|รย.1-นั่ง 2 ตอน</v>
      </c>
      <c r="D865" s="5"/>
    </row>
    <row r="866" spans="1:4" x14ac:dyDescent="0.3">
      <c r="A866" s="4" t="s">
        <v>110</v>
      </c>
      <c r="B866" s="4" t="s">
        <v>27</v>
      </c>
      <c r="C866" s="4" t="str">
        <f t="shared" si="13"/>
        <v>สุพรรณบุรี|รย.1-นั่ง 3 ตอน</v>
      </c>
      <c r="D866" s="5"/>
    </row>
    <row r="867" spans="1:4" x14ac:dyDescent="0.3">
      <c r="A867" s="4" t="s">
        <v>110</v>
      </c>
      <c r="B867" s="4" t="s">
        <v>28</v>
      </c>
      <c r="C867" s="4" t="str">
        <f t="shared" si="13"/>
        <v>สุพรรณบุรี|รย.2-นั่ง 2 แถว</v>
      </c>
      <c r="D867" s="5"/>
    </row>
    <row r="868" spans="1:4" x14ac:dyDescent="0.3">
      <c r="A868" s="4" t="s">
        <v>110</v>
      </c>
      <c r="B868" s="4" t="s">
        <v>29</v>
      </c>
      <c r="C868" s="4" t="str">
        <f t="shared" si="13"/>
        <v>สุพรรณบุรี|รย.2-นั่ง 4 ตอน</v>
      </c>
      <c r="D868" s="5"/>
    </row>
    <row r="869" spans="1:4" x14ac:dyDescent="0.3">
      <c r="A869" s="4" t="s">
        <v>110</v>
      </c>
      <c r="B869" s="4" t="s">
        <v>30</v>
      </c>
      <c r="C869" s="4" t="str">
        <f t="shared" si="13"/>
        <v>สุพรรณบุรี|รย.3-กระบะบรรทุก</v>
      </c>
      <c r="D869" s="5"/>
    </row>
    <row r="870" spans="1:4" x14ac:dyDescent="0.3">
      <c r="A870" s="4" t="s">
        <v>110</v>
      </c>
      <c r="B870" s="4" t="s">
        <v>31</v>
      </c>
      <c r="C870" s="4" t="str">
        <f t="shared" si="13"/>
        <v>สุพรรณบุรี|รย.3-กระบะบรรทุกมีหลังคา</v>
      </c>
      <c r="D870" s="5"/>
    </row>
    <row r="871" spans="1:4" x14ac:dyDescent="0.3">
      <c r="A871" s="4" t="s">
        <v>110</v>
      </c>
      <c r="B871" s="4" t="s">
        <v>32</v>
      </c>
      <c r="C871" s="4" t="str">
        <f t="shared" si="13"/>
        <v>สุพรรณบุรี|รย.3-กระบะบรรทุกมีหลังคาแหนบ</v>
      </c>
      <c r="D871" s="5"/>
    </row>
    <row r="872" spans="1:4" x14ac:dyDescent="0.3">
      <c r="A872" s="4" t="s">
        <v>110</v>
      </c>
      <c r="B872" s="4" t="s">
        <v>33</v>
      </c>
      <c r="C872" s="4" t="str">
        <f t="shared" si="13"/>
        <v>สุพรรณบุรี|รย.3-ตู้บรรทุก</v>
      </c>
      <c r="D872" s="5"/>
    </row>
    <row r="873" spans="1:4" x14ac:dyDescent="0.3">
      <c r="A873" s="4" t="s">
        <v>111</v>
      </c>
      <c r="B873" s="4" t="s">
        <v>19</v>
      </c>
      <c r="C873" s="4" t="str">
        <f t="shared" si="13"/>
        <v>สุราษฎร์ธานี|รย.12-น้อยกว่า 300cc</v>
      </c>
      <c r="D873" s="5"/>
    </row>
    <row r="874" spans="1:4" x14ac:dyDescent="0.3">
      <c r="A874" s="4" t="s">
        <v>111</v>
      </c>
      <c r="B874" s="4" t="s">
        <v>21</v>
      </c>
      <c r="C874" s="4" t="str">
        <f t="shared" si="13"/>
        <v>สุราษฎร์ธานี|รย.12-300-799cc</v>
      </c>
      <c r="D874" s="5"/>
    </row>
    <row r="875" spans="1:4" x14ac:dyDescent="0.3">
      <c r="A875" s="4" t="s">
        <v>111</v>
      </c>
      <c r="B875" s="4" t="s">
        <v>22</v>
      </c>
      <c r="C875" s="4" t="str">
        <f t="shared" si="13"/>
        <v>สุราษฎร์ธานี|รย.12-800-999cc</v>
      </c>
      <c r="D875" s="5"/>
    </row>
    <row r="876" spans="1:4" x14ac:dyDescent="0.3">
      <c r="A876" s="4" t="s">
        <v>111</v>
      </c>
      <c r="B876" s="4" t="s">
        <v>23</v>
      </c>
      <c r="C876" s="4" t="str">
        <f t="shared" si="13"/>
        <v>สุราษฎร์ธานี|รย.12-1000cc ขึ้นไป</v>
      </c>
      <c r="D876" s="5"/>
    </row>
    <row r="877" spans="1:4" x14ac:dyDescent="0.3">
      <c r="A877" s="4" t="s">
        <v>111</v>
      </c>
      <c r="B877" s="4" t="s">
        <v>24</v>
      </c>
      <c r="C877" s="4" t="str">
        <f t="shared" si="13"/>
        <v>สุราษฎร์ธานี|รย.1-เก๋ง 2 ตอน</v>
      </c>
      <c r="D877" s="5"/>
    </row>
    <row r="878" spans="1:4" x14ac:dyDescent="0.3">
      <c r="A878" s="4" t="s">
        <v>111</v>
      </c>
      <c r="B878" s="4" t="s">
        <v>26</v>
      </c>
      <c r="C878" s="4" t="str">
        <f t="shared" si="13"/>
        <v>สุราษฎร์ธานี|รย.1-นั่ง 2 ตอน</v>
      </c>
      <c r="D878" s="5"/>
    </row>
    <row r="879" spans="1:4" x14ac:dyDescent="0.3">
      <c r="A879" s="4" t="s">
        <v>111</v>
      </c>
      <c r="B879" s="4" t="s">
        <v>27</v>
      </c>
      <c r="C879" s="4" t="str">
        <f t="shared" si="13"/>
        <v>สุราษฎร์ธานี|รย.1-นั่ง 3 ตอน</v>
      </c>
      <c r="D879" s="5"/>
    </row>
    <row r="880" spans="1:4" x14ac:dyDescent="0.3">
      <c r="A880" s="4" t="s">
        <v>111</v>
      </c>
      <c r="B880" s="4" t="s">
        <v>28</v>
      </c>
      <c r="C880" s="4" t="str">
        <f t="shared" si="13"/>
        <v>สุราษฎร์ธานี|รย.2-นั่ง 2 แถว</v>
      </c>
      <c r="D880" s="5"/>
    </row>
    <row r="881" spans="1:4" x14ac:dyDescent="0.3">
      <c r="A881" s="4" t="s">
        <v>111</v>
      </c>
      <c r="B881" s="4" t="s">
        <v>29</v>
      </c>
      <c r="C881" s="4" t="str">
        <f t="shared" si="13"/>
        <v>สุราษฎร์ธานี|รย.2-นั่ง 4 ตอน</v>
      </c>
      <c r="D881" s="5"/>
    </row>
    <row r="882" spans="1:4" x14ac:dyDescent="0.3">
      <c r="A882" s="4" t="s">
        <v>111</v>
      </c>
      <c r="B882" s="4" t="s">
        <v>30</v>
      </c>
      <c r="C882" s="4" t="str">
        <f t="shared" si="13"/>
        <v>สุราษฎร์ธานี|รย.3-กระบะบรรทุก</v>
      </c>
      <c r="D882" s="5"/>
    </row>
    <row r="883" spans="1:4" x14ac:dyDescent="0.3">
      <c r="A883" s="4" t="s">
        <v>111</v>
      </c>
      <c r="B883" s="4" t="s">
        <v>31</v>
      </c>
      <c r="C883" s="4" t="str">
        <f t="shared" si="13"/>
        <v>สุราษฎร์ธานี|รย.3-กระบะบรรทุกมีหลังคา</v>
      </c>
      <c r="D883" s="5"/>
    </row>
    <row r="884" spans="1:4" x14ac:dyDescent="0.3">
      <c r="A884" s="4" t="s">
        <v>111</v>
      </c>
      <c r="B884" s="4" t="s">
        <v>32</v>
      </c>
      <c r="C884" s="4" t="str">
        <f t="shared" si="13"/>
        <v>สุราษฎร์ธานี|รย.3-กระบะบรรทุกมีหลังคาแหนบ</v>
      </c>
      <c r="D884" s="5"/>
    </row>
    <row r="885" spans="1:4" x14ac:dyDescent="0.3">
      <c r="A885" s="4" t="s">
        <v>111</v>
      </c>
      <c r="B885" s="4" t="s">
        <v>33</v>
      </c>
      <c r="C885" s="4" t="str">
        <f t="shared" si="13"/>
        <v>สุราษฎร์ธานี|รย.3-ตู้บรรทุก</v>
      </c>
      <c r="D885" s="5"/>
    </row>
    <row r="886" spans="1:4" x14ac:dyDescent="0.3">
      <c r="A886" s="4" t="s">
        <v>112</v>
      </c>
      <c r="B886" s="4" t="s">
        <v>19</v>
      </c>
      <c r="C886" s="4" t="str">
        <f t="shared" si="13"/>
        <v>สุรินทร์|รย.12-น้อยกว่า 300cc</v>
      </c>
      <c r="D886" s="5"/>
    </row>
    <row r="887" spans="1:4" x14ac:dyDescent="0.3">
      <c r="A887" s="4" t="s">
        <v>112</v>
      </c>
      <c r="B887" s="4" t="s">
        <v>21</v>
      </c>
      <c r="C887" s="4" t="str">
        <f t="shared" si="13"/>
        <v>สุรินทร์|รย.12-300-799cc</v>
      </c>
      <c r="D887" s="5"/>
    </row>
    <row r="888" spans="1:4" x14ac:dyDescent="0.3">
      <c r="A888" s="4" t="s">
        <v>112</v>
      </c>
      <c r="B888" s="4" t="s">
        <v>22</v>
      </c>
      <c r="C888" s="4" t="str">
        <f t="shared" si="13"/>
        <v>สุรินทร์|รย.12-800-999cc</v>
      </c>
      <c r="D888" s="5"/>
    </row>
    <row r="889" spans="1:4" x14ac:dyDescent="0.3">
      <c r="A889" s="4" t="s">
        <v>112</v>
      </c>
      <c r="B889" s="4" t="s">
        <v>23</v>
      </c>
      <c r="C889" s="4" t="str">
        <f t="shared" si="13"/>
        <v>สุรินทร์|รย.12-1000cc ขึ้นไป</v>
      </c>
      <c r="D889" s="5"/>
    </row>
    <row r="890" spans="1:4" x14ac:dyDescent="0.3">
      <c r="A890" s="4" t="s">
        <v>112</v>
      </c>
      <c r="B890" s="4" t="s">
        <v>24</v>
      </c>
      <c r="C890" s="4" t="str">
        <f t="shared" si="13"/>
        <v>สุรินทร์|รย.1-เก๋ง 2 ตอน</v>
      </c>
      <c r="D890" s="5"/>
    </row>
    <row r="891" spans="1:4" x14ac:dyDescent="0.3">
      <c r="A891" s="4" t="s">
        <v>112</v>
      </c>
      <c r="B891" s="4" t="s">
        <v>26</v>
      </c>
      <c r="C891" s="4" t="str">
        <f t="shared" si="13"/>
        <v>สุรินทร์|รย.1-นั่ง 2 ตอน</v>
      </c>
      <c r="D891" s="5"/>
    </row>
    <row r="892" spans="1:4" x14ac:dyDescent="0.3">
      <c r="A892" s="4" t="s">
        <v>112</v>
      </c>
      <c r="B892" s="4" t="s">
        <v>27</v>
      </c>
      <c r="C892" s="4" t="str">
        <f t="shared" si="13"/>
        <v>สุรินทร์|รย.1-นั่ง 3 ตอน</v>
      </c>
      <c r="D892" s="5"/>
    </row>
    <row r="893" spans="1:4" x14ac:dyDescent="0.3">
      <c r="A893" s="4" t="s">
        <v>112</v>
      </c>
      <c r="B893" s="4" t="s">
        <v>28</v>
      </c>
      <c r="C893" s="4" t="str">
        <f t="shared" si="13"/>
        <v>สุรินทร์|รย.2-นั่ง 2 แถว</v>
      </c>
      <c r="D893" s="5"/>
    </row>
    <row r="894" spans="1:4" x14ac:dyDescent="0.3">
      <c r="A894" s="4" t="s">
        <v>112</v>
      </c>
      <c r="B894" s="4" t="s">
        <v>29</v>
      </c>
      <c r="C894" s="4" t="str">
        <f t="shared" si="13"/>
        <v>สุรินทร์|รย.2-นั่ง 4 ตอน</v>
      </c>
      <c r="D894" s="5"/>
    </row>
    <row r="895" spans="1:4" x14ac:dyDescent="0.3">
      <c r="A895" s="4" t="s">
        <v>112</v>
      </c>
      <c r="B895" s="4" t="s">
        <v>30</v>
      </c>
      <c r="C895" s="4" t="str">
        <f t="shared" si="13"/>
        <v>สุรินทร์|รย.3-กระบะบรรทุก</v>
      </c>
      <c r="D895" s="5"/>
    </row>
    <row r="896" spans="1:4" x14ac:dyDescent="0.3">
      <c r="A896" s="4" t="s">
        <v>112</v>
      </c>
      <c r="B896" s="4" t="s">
        <v>31</v>
      </c>
      <c r="C896" s="4" t="str">
        <f t="shared" si="13"/>
        <v>สุรินทร์|รย.3-กระบะบรรทุกมีหลังคา</v>
      </c>
      <c r="D896" s="5"/>
    </row>
    <row r="897" spans="1:4" x14ac:dyDescent="0.3">
      <c r="A897" s="4" t="s">
        <v>112</v>
      </c>
      <c r="B897" s="4" t="s">
        <v>32</v>
      </c>
      <c r="C897" s="4" t="str">
        <f t="shared" si="13"/>
        <v>สุรินทร์|รย.3-กระบะบรรทุกมีหลังคาแหนบ</v>
      </c>
      <c r="D897" s="5"/>
    </row>
    <row r="898" spans="1:4" x14ac:dyDescent="0.3">
      <c r="A898" s="4" t="s">
        <v>112</v>
      </c>
      <c r="B898" s="4" t="s">
        <v>33</v>
      </c>
      <c r="C898" s="4" t="str">
        <f t="shared" ref="C898:C961" si="14">A898&amp;"|"&amp;B898</f>
        <v>สุรินทร์|รย.3-ตู้บรรทุก</v>
      </c>
      <c r="D898" s="5"/>
    </row>
    <row r="899" spans="1:4" x14ac:dyDescent="0.3">
      <c r="A899" s="4" t="s">
        <v>113</v>
      </c>
      <c r="B899" s="4" t="s">
        <v>19</v>
      </c>
      <c r="C899" s="4" t="str">
        <f t="shared" si="14"/>
        <v>หนองคาย|รย.12-น้อยกว่า 300cc</v>
      </c>
      <c r="D899" s="5"/>
    </row>
    <row r="900" spans="1:4" x14ac:dyDescent="0.3">
      <c r="A900" s="4" t="s">
        <v>113</v>
      </c>
      <c r="B900" s="4" t="s">
        <v>21</v>
      </c>
      <c r="C900" s="4" t="str">
        <f t="shared" si="14"/>
        <v>หนองคาย|รย.12-300-799cc</v>
      </c>
      <c r="D900" s="5"/>
    </row>
    <row r="901" spans="1:4" x14ac:dyDescent="0.3">
      <c r="A901" s="4" t="s">
        <v>113</v>
      </c>
      <c r="B901" s="4" t="s">
        <v>22</v>
      </c>
      <c r="C901" s="4" t="str">
        <f t="shared" si="14"/>
        <v>หนองคาย|รย.12-800-999cc</v>
      </c>
      <c r="D901" s="5"/>
    </row>
    <row r="902" spans="1:4" x14ac:dyDescent="0.3">
      <c r="A902" s="4" t="s">
        <v>113</v>
      </c>
      <c r="B902" s="4" t="s">
        <v>23</v>
      </c>
      <c r="C902" s="4" t="str">
        <f t="shared" si="14"/>
        <v>หนองคาย|รย.12-1000cc ขึ้นไป</v>
      </c>
      <c r="D902" s="5"/>
    </row>
    <row r="903" spans="1:4" x14ac:dyDescent="0.3">
      <c r="A903" s="4" t="s">
        <v>113</v>
      </c>
      <c r="B903" s="4" t="s">
        <v>24</v>
      </c>
      <c r="C903" s="4" t="str">
        <f t="shared" si="14"/>
        <v>หนองคาย|รย.1-เก๋ง 2 ตอน</v>
      </c>
      <c r="D903" s="5"/>
    </row>
    <row r="904" spans="1:4" x14ac:dyDescent="0.3">
      <c r="A904" s="4" t="s">
        <v>113</v>
      </c>
      <c r="B904" s="4" t="s">
        <v>26</v>
      </c>
      <c r="C904" s="4" t="str">
        <f t="shared" si="14"/>
        <v>หนองคาย|รย.1-นั่ง 2 ตอน</v>
      </c>
      <c r="D904" s="5"/>
    </row>
    <row r="905" spans="1:4" x14ac:dyDescent="0.3">
      <c r="A905" s="4" t="s">
        <v>113</v>
      </c>
      <c r="B905" s="4" t="s">
        <v>27</v>
      </c>
      <c r="C905" s="4" t="str">
        <f t="shared" si="14"/>
        <v>หนองคาย|รย.1-นั่ง 3 ตอน</v>
      </c>
      <c r="D905" s="5"/>
    </row>
    <row r="906" spans="1:4" x14ac:dyDescent="0.3">
      <c r="A906" s="4" t="s">
        <v>113</v>
      </c>
      <c r="B906" s="4" t="s">
        <v>28</v>
      </c>
      <c r="C906" s="4" t="str">
        <f t="shared" si="14"/>
        <v>หนองคาย|รย.2-นั่ง 2 แถว</v>
      </c>
      <c r="D906" s="5"/>
    </row>
    <row r="907" spans="1:4" x14ac:dyDescent="0.3">
      <c r="A907" s="4" t="s">
        <v>113</v>
      </c>
      <c r="B907" s="4" t="s">
        <v>29</v>
      </c>
      <c r="C907" s="4" t="str">
        <f t="shared" si="14"/>
        <v>หนองคาย|รย.2-นั่ง 4 ตอน</v>
      </c>
      <c r="D907" s="5"/>
    </row>
    <row r="908" spans="1:4" x14ac:dyDescent="0.3">
      <c r="A908" s="4" t="s">
        <v>113</v>
      </c>
      <c r="B908" s="4" t="s">
        <v>30</v>
      </c>
      <c r="C908" s="4" t="str">
        <f t="shared" si="14"/>
        <v>หนองคาย|รย.3-กระบะบรรทุก</v>
      </c>
      <c r="D908" s="5"/>
    </row>
    <row r="909" spans="1:4" x14ac:dyDescent="0.3">
      <c r="A909" s="4" t="s">
        <v>113</v>
      </c>
      <c r="B909" s="4" t="s">
        <v>31</v>
      </c>
      <c r="C909" s="4" t="str">
        <f t="shared" si="14"/>
        <v>หนองคาย|รย.3-กระบะบรรทุกมีหลังคา</v>
      </c>
      <c r="D909" s="5"/>
    </row>
    <row r="910" spans="1:4" x14ac:dyDescent="0.3">
      <c r="A910" s="4" t="s">
        <v>113</v>
      </c>
      <c r="B910" s="4" t="s">
        <v>32</v>
      </c>
      <c r="C910" s="4" t="str">
        <f t="shared" si="14"/>
        <v>หนองคาย|รย.3-กระบะบรรทุกมีหลังคาแหนบ</v>
      </c>
      <c r="D910" s="5"/>
    </row>
    <row r="911" spans="1:4" x14ac:dyDescent="0.3">
      <c r="A911" s="4" t="s">
        <v>113</v>
      </c>
      <c r="B911" s="4" t="s">
        <v>33</v>
      </c>
      <c r="C911" s="4" t="str">
        <f t="shared" si="14"/>
        <v>หนองคาย|รย.3-ตู้บรรทุก</v>
      </c>
      <c r="D911" s="5"/>
    </row>
    <row r="912" spans="1:4" x14ac:dyDescent="0.3">
      <c r="A912" s="4" t="s">
        <v>114</v>
      </c>
      <c r="B912" s="4" t="s">
        <v>19</v>
      </c>
      <c r="C912" s="4" t="str">
        <f t="shared" si="14"/>
        <v>หนองบัวลำภู|รย.12-น้อยกว่า 300cc</v>
      </c>
      <c r="D912" s="5"/>
    </row>
    <row r="913" spans="1:4" x14ac:dyDescent="0.3">
      <c r="A913" s="4" t="s">
        <v>114</v>
      </c>
      <c r="B913" s="4" t="s">
        <v>21</v>
      </c>
      <c r="C913" s="4" t="str">
        <f t="shared" si="14"/>
        <v>หนองบัวลำภู|รย.12-300-799cc</v>
      </c>
      <c r="D913" s="5"/>
    </row>
    <row r="914" spans="1:4" x14ac:dyDescent="0.3">
      <c r="A914" s="4" t="s">
        <v>114</v>
      </c>
      <c r="B914" s="4" t="s">
        <v>22</v>
      </c>
      <c r="C914" s="4" t="str">
        <f t="shared" si="14"/>
        <v>หนองบัวลำภู|รย.12-800-999cc</v>
      </c>
      <c r="D914" s="5"/>
    </row>
    <row r="915" spans="1:4" x14ac:dyDescent="0.3">
      <c r="A915" s="4" t="s">
        <v>114</v>
      </c>
      <c r="B915" s="4" t="s">
        <v>23</v>
      </c>
      <c r="C915" s="4" t="str">
        <f t="shared" si="14"/>
        <v>หนองบัวลำภู|รย.12-1000cc ขึ้นไป</v>
      </c>
      <c r="D915" s="5"/>
    </row>
    <row r="916" spans="1:4" x14ac:dyDescent="0.3">
      <c r="A916" s="4" t="s">
        <v>114</v>
      </c>
      <c r="B916" s="4" t="s">
        <v>24</v>
      </c>
      <c r="C916" s="4" t="str">
        <f t="shared" si="14"/>
        <v>หนองบัวลำภู|รย.1-เก๋ง 2 ตอน</v>
      </c>
      <c r="D916" s="5"/>
    </row>
    <row r="917" spans="1:4" x14ac:dyDescent="0.3">
      <c r="A917" s="4" t="s">
        <v>114</v>
      </c>
      <c r="B917" s="4" t="s">
        <v>26</v>
      </c>
      <c r="C917" s="4" t="str">
        <f t="shared" si="14"/>
        <v>หนองบัวลำภู|รย.1-นั่ง 2 ตอน</v>
      </c>
      <c r="D917" s="5"/>
    </row>
    <row r="918" spans="1:4" x14ac:dyDescent="0.3">
      <c r="A918" s="4" t="s">
        <v>114</v>
      </c>
      <c r="B918" s="4" t="s">
        <v>27</v>
      </c>
      <c r="C918" s="4" t="str">
        <f t="shared" si="14"/>
        <v>หนองบัวลำภู|รย.1-นั่ง 3 ตอน</v>
      </c>
      <c r="D918" s="5"/>
    </row>
    <row r="919" spans="1:4" x14ac:dyDescent="0.3">
      <c r="A919" s="4" t="s">
        <v>114</v>
      </c>
      <c r="B919" s="4" t="s">
        <v>28</v>
      </c>
      <c r="C919" s="4" t="str">
        <f t="shared" si="14"/>
        <v>หนองบัวลำภู|รย.2-นั่ง 2 แถว</v>
      </c>
      <c r="D919" s="5"/>
    </row>
    <row r="920" spans="1:4" x14ac:dyDescent="0.3">
      <c r="A920" s="4" t="s">
        <v>114</v>
      </c>
      <c r="B920" s="4" t="s">
        <v>29</v>
      </c>
      <c r="C920" s="4" t="str">
        <f t="shared" si="14"/>
        <v>หนองบัวลำภู|รย.2-นั่ง 4 ตอน</v>
      </c>
      <c r="D920" s="5"/>
    </row>
    <row r="921" spans="1:4" x14ac:dyDescent="0.3">
      <c r="A921" s="4" t="s">
        <v>114</v>
      </c>
      <c r="B921" s="4" t="s">
        <v>30</v>
      </c>
      <c r="C921" s="4" t="str">
        <f t="shared" si="14"/>
        <v>หนองบัวลำภู|รย.3-กระบะบรรทุก</v>
      </c>
      <c r="D921" s="5"/>
    </row>
    <row r="922" spans="1:4" x14ac:dyDescent="0.3">
      <c r="A922" s="4" t="s">
        <v>114</v>
      </c>
      <c r="B922" s="4" t="s">
        <v>31</v>
      </c>
      <c r="C922" s="4" t="str">
        <f t="shared" si="14"/>
        <v>หนองบัวลำภู|รย.3-กระบะบรรทุกมีหลังคา</v>
      </c>
      <c r="D922" s="5"/>
    </row>
    <row r="923" spans="1:4" x14ac:dyDescent="0.3">
      <c r="A923" s="4" t="s">
        <v>114</v>
      </c>
      <c r="B923" s="4" t="s">
        <v>32</v>
      </c>
      <c r="C923" s="4" t="str">
        <f t="shared" si="14"/>
        <v>หนองบัวลำภู|รย.3-กระบะบรรทุกมีหลังคาแหนบ</v>
      </c>
      <c r="D923" s="5"/>
    </row>
    <row r="924" spans="1:4" x14ac:dyDescent="0.3">
      <c r="A924" s="4" t="s">
        <v>114</v>
      </c>
      <c r="B924" s="4" t="s">
        <v>33</v>
      </c>
      <c r="C924" s="4" t="str">
        <f t="shared" si="14"/>
        <v>หนองบัวลำภู|รย.3-ตู้บรรทุก</v>
      </c>
      <c r="D924" s="5"/>
    </row>
    <row r="925" spans="1:4" x14ac:dyDescent="0.3">
      <c r="A925" s="4" t="s">
        <v>115</v>
      </c>
      <c r="B925" s="4" t="s">
        <v>19</v>
      </c>
      <c r="C925" s="4" t="str">
        <f t="shared" si="14"/>
        <v>อ่างทอง|รย.12-น้อยกว่า 300cc</v>
      </c>
      <c r="D925" s="5"/>
    </row>
    <row r="926" spans="1:4" x14ac:dyDescent="0.3">
      <c r="A926" s="4" t="s">
        <v>115</v>
      </c>
      <c r="B926" s="4" t="s">
        <v>21</v>
      </c>
      <c r="C926" s="4" t="str">
        <f t="shared" si="14"/>
        <v>อ่างทอง|รย.12-300-799cc</v>
      </c>
      <c r="D926" s="5"/>
    </row>
    <row r="927" spans="1:4" x14ac:dyDescent="0.3">
      <c r="A927" s="4" t="s">
        <v>115</v>
      </c>
      <c r="B927" s="4" t="s">
        <v>22</v>
      </c>
      <c r="C927" s="4" t="str">
        <f t="shared" si="14"/>
        <v>อ่างทอง|รย.12-800-999cc</v>
      </c>
      <c r="D927" s="5"/>
    </row>
    <row r="928" spans="1:4" x14ac:dyDescent="0.3">
      <c r="A928" s="4" t="s">
        <v>115</v>
      </c>
      <c r="B928" s="4" t="s">
        <v>23</v>
      </c>
      <c r="C928" s="4" t="str">
        <f t="shared" si="14"/>
        <v>อ่างทอง|รย.12-1000cc ขึ้นไป</v>
      </c>
      <c r="D928" s="5"/>
    </row>
    <row r="929" spans="1:4" x14ac:dyDescent="0.3">
      <c r="A929" s="4" t="s">
        <v>115</v>
      </c>
      <c r="B929" s="4" t="s">
        <v>24</v>
      </c>
      <c r="C929" s="4" t="str">
        <f t="shared" si="14"/>
        <v>อ่างทอง|รย.1-เก๋ง 2 ตอน</v>
      </c>
      <c r="D929" s="5"/>
    </row>
    <row r="930" spans="1:4" x14ac:dyDescent="0.3">
      <c r="A930" s="4" t="s">
        <v>115</v>
      </c>
      <c r="B930" s="4" t="s">
        <v>26</v>
      </c>
      <c r="C930" s="4" t="str">
        <f t="shared" si="14"/>
        <v>อ่างทอง|รย.1-นั่ง 2 ตอน</v>
      </c>
      <c r="D930" s="5"/>
    </row>
    <row r="931" spans="1:4" x14ac:dyDescent="0.3">
      <c r="A931" s="4" t="s">
        <v>115</v>
      </c>
      <c r="B931" s="4" t="s">
        <v>27</v>
      </c>
      <c r="C931" s="4" t="str">
        <f t="shared" si="14"/>
        <v>อ่างทอง|รย.1-นั่ง 3 ตอน</v>
      </c>
      <c r="D931" s="5"/>
    </row>
    <row r="932" spans="1:4" x14ac:dyDescent="0.3">
      <c r="A932" s="4" t="s">
        <v>115</v>
      </c>
      <c r="B932" s="4" t="s">
        <v>28</v>
      </c>
      <c r="C932" s="4" t="str">
        <f t="shared" si="14"/>
        <v>อ่างทอง|รย.2-นั่ง 2 แถว</v>
      </c>
      <c r="D932" s="5"/>
    </row>
    <row r="933" spans="1:4" x14ac:dyDescent="0.3">
      <c r="A933" s="4" t="s">
        <v>115</v>
      </c>
      <c r="B933" s="4" t="s">
        <v>29</v>
      </c>
      <c r="C933" s="4" t="str">
        <f t="shared" si="14"/>
        <v>อ่างทอง|รย.2-นั่ง 4 ตอน</v>
      </c>
      <c r="D933" s="5"/>
    </row>
    <row r="934" spans="1:4" x14ac:dyDescent="0.3">
      <c r="A934" s="4" t="s">
        <v>115</v>
      </c>
      <c r="B934" s="4" t="s">
        <v>30</v>
      </c>
      <c r="C934" s="4" t="str">
        <f t="shared" si="14"/>
        <v>อ่างทอง|รย.3-กระบะบรรทุก</v>
      </c>
      <c r="D934" s="5"/>
    </row>
    <row r="935" spans="1:4" x14ac:dyDescent="0.3">
      <c r="A935" s="4" t="s">
        <v>115</v>
      </c>
      <c r="B935" s="4" t="s">
        <v>31</v>
      </c>
      <c r="C935" s="4" t="str">
        <f t="shared" si="14"/>
        <v>อ่างทอง|รย.3-กระบะบรรทุกมีหลังคา</v>
      </c>
      <c r="D935" s="5"/>
    </row>
    <row r="936" spans="1:4" x14ac:dyDescent="0.3">
      <c r="A936" s="4" t="s">
        <v>115</v>
      </c>
      <c r="B936" s="4" t="s">
        <v>32</v>
      </c>
      <c r="C936" s="4" t="str">
        <f t="shared" si="14"/>
        <v>อ่างทอง|รย.3-กระบะบรรทุกมีหลังคาแหนบ</v>
      </c>
      <c r="D936" s="5"/>
    </row>
    <row r="937" spans="1:4" x14ac:dyDescent="0.3">
      <c r="A937" s="4" t="s">
        <v>115</v>
      </c>
      <c r="B937" s="4" t="s">
        <v>33</v>
      </c>
      <c r="C937" s="4" t="str">
        <f t="shared" si="14"/>
        <v>อ่างทอง|รย.3-ตู้บรรทุก</v>
      </c>
      <c r="D937" s="5"/>
    </row>
    <row r="938" spans="1:4" x14ac:dyDescent="0.3">
      <c r="A938" s="4" t="s">
        <v>116</v>
      </c>
      <c r="B938" s="4" t="s">
        <v>19</v>
      </c>
      <c r="C938" s="4" t="str">
        <f t="shared" si="14"/>
        <v>อำนาจเจริญ|รย.12-น้อยกว่า 300cc</v>
      </c>
      <c r="D938" s="5"/>
    </row>
    <row r="939" spans="1:4" x14ac:dyDescent="0.3">
      <c r="A939" s="4" t="s">
        <v>116</v>
      </c>
      <c r="B939" s="4" t="s">
        <v>21</v>
      </c>
      <c r="C939" s="4" t="str">
        <f t="shared" si="14"/>
        <v>อำนาจเจริญ|รย.12-300-799cc</v>
      </c>
      <c r="D939" s="5"/>
    </row>
    <row r="940" spans="1:4" x14ac:dyDescent="0.3">
      <c r="A940" s="4" t="s">
        <v>116</v>
      </c>
      <c r="B940" s="4" t="s">
        <v>22</v>
      </c>
      <c r="C940" s="4" t="str">
        <f t="shared" si="14"/>
        <v>อำนาจเจริญ|รย.12-800-999cc</v>
      </c>
      <c r="D940" s="5"/>
    </row>
    <row r="941" spans="1:4" x14ac:dyDescent="0.3">
      <c r="A941" s="4" t="s">
        <v>116</v>
      </c>
      <c r="B941" s="4" t="s">
        <v>23</v>
      </c>
      <c r="C941" s="4" t="str">
        <f t="shared" si="14"/>
        <v>อำนาจเจริญ|รย.12-1000cc ขึ้นไป</v>
      </c>
      <c r="D941" s="5"/>
    </row>
    <row r="942" spans="1:4" x14ac:dyDescent="0.3">
      <c r="A942" s="4" t="s">
        <v>116</v>
      </c>
      <c r="B942" s="4" t="s">
        <v>24</v>
      </c>
      <c r="C942" s="4" t="str">
        <f t="shared" si="14"/>
        <v>อำนาจเจริญ|รย.1-เก๋ง 2 ตอน</v>
      </c>
      <c r="D942" s="5"/>
    </row>
    <row r="943" spans="1:4" x14ac:dyDescent="0.3">
      <c r="A943" s="4" t="s">
        <v>116</v>
      </c>
      <c r="B943" s="4" t="s">
        <v>26</v>
      </c>
      <c r="C943" s="4" t="str">
        <f t="shared" si="14"/>
        <v>อำนาจเจริญ|รย.1-นั่ง 2 ตอน</v>
      </c>
      <c r="D943" s="5"/>
    </row>
    <row r="944" spans="1:4" x14ac:dyDescent="0.3">
      <c r="A944" s="4" t="s">
        <v>116</v>
      </c>
      <c r="B944" s="4" t="s">
        <v>27</v>
      </c>
      <c r="C944" s="4" t="str">
        <f t="shared" si="14"/>
        <v>อำนาจเจริญ|รย.1-นั่ง 3 ตอน</v>
      </c>
      <c r="D944" s="5"/>
    </row>
    <row r="945" spans="1:4" x14ac:dyDescent="0.3">
      <c r="A945" s="4" t="s">
        <v>116</v>
      </c>
      <c r="B945" s="4" t="s">
        <v>28</v>
      </c>
      <c r="C945" s="4" t="str">
        <f t="shared" si="14"/>
        <v>อำนาจเจริญ|รย.2-นั่ง 2 แถว</v>
      </c>
      <c r="D945" s="5"/>
    </row>
    <row r="946" spans="1:4" x14ac:dyDescent="0.3">
      <c r="A946" s="4" t="s">
        <v>116</v>
      </c>
      <c r="B946" s="4" t="s">
        <v>29</v>
      </c>
      <c r="C946" s="4" t="str">
        <f t="shared" si="14"/>
        <v>อำนาจเจริญ|รย.2-นั่ง 4 ตอน</v>
      </c>
      <c r="D946" s="5"/>
    </row>
    <row r="947" spans="1:4" x14ac:dyDescent="0.3">
      <c r="A947" s="4" t="s">
        <v>116</v>
      </c>
      <c r="B947" s="4" t="s">
        <v>30</v>
      </c>
      <c r="C947" s="4" t="str">
        <f t="shared" si="14"/>
        <v>อำนาจเจริญ|รย.3-กระบะบรรทุก</v>
      </c>
      <c r="D947" s="5"/>
    </row>
    <row r="948" spans="1:4" x14ac:dyDescent="0.3">
      <c r="A948" s="4" t="s">
        <v>116</v>
      </c>
      <c r="B948" s="4" t="s">
        <v>31</v>
      </c>
      <c r="C948" s="4" t="str">
        <f t="shared" si="14"/>
        <v>อำนาจเจริญ|รย.3-กระบะบรรทุกมีหลังคา</v>
      </c>
      <c r="D948" s="5"/>
    </row>
    <row r="949" spans="1:4" x14ac:dyDescent="0.3">
      <c r="A949" s="4" t="s">
        <v>116</v>
      </c>
      <c r="B949" s="4" t="s">
        <v>32</v>
      </c>
      <c r="C949" s="4" t="str">
        <f t="shared" si="14"/>
        <v>อำนาจเจริญ|รย.3-กระบะบรรทุกมีหลังคาแหนบ</v>
      </c>
      <c r="D949" s="5"/>
    </row>
    <row r="950" spans="1:4" x14ac:dyDescent="0.3">
      <c r="A950" s="4" t="s">
        <v>116</v>
      </c>
      <c r="B950" s="4" t="s">
        <v>33</v>
      </c>
      <c r="C950" s="4" t="str">
        <f t="shared" si="14"/>
        <v>อำนาจเจริญ|รย.3-ตู้บรรทุก</v>
      </c>
      <c r="D950" s="5"/>
    </row>
    <row r="951" spans="1:4" x14ac:dyDescent="0.3">
      <c r="A951" s="4" t="s">
        <v>117</v>
      </c>
      <c r="B951" s="4" t="s">
        <v>19</v>
      </c>
      <c r="C951" s="4" t="str">
        <f t="shared" si="14"/>
        <v>อุดรธานี|รย.12-น้อยกว่า 300cc</v>
      </c>
      <c r="D951" s="5"/>
    </row>
    <row r="952" spans="1:4" x14ac:dyDescent="0.3">
      <c r="A952" s="4" t="s">
        <v>117</v>
      </c>
      <c r="B952" s="4" t="s">
        <v>21</v>
      </c>
      <c r="C952" s="4" t="str">
        <f t="shared" si="14"/>
        <v>อุดรธานี|รย.12-300-799cc</v>
      </c>
      <c r="D952" s="5"/>
    </row>
    <row r="953" spans="1:4" x14ac:dyDescent="0.3">
      <c r="A953" s="4" t="s">
        <v>117</v>
      </c>
      <c r="B953" s="4" t="s">
        <v>22</v>
      </c>
      <c r="C953" s="4" t="str">
        <f t="shared" si="14"/>
        <v>อุดรธานี|รย.12-800-999cc</v>
      </c>
      <c r="D953" s="5"/>
    </row>
    <row r="954" spans="1:4" x14ac:dyDescent="0.3">
      <c r="A954" s="4" t="s">
        <v>117</v>
      </c>
      <c r="B954" s="4" t="s">
        <v>23</v>
      </c>
      <c r="C954" s="4" t="str">
        <f t="shared" si="14"/>
        <v>อุดรธานี|รย.12-1000cc ขึ้นไป</v>
      </c>
      <c r="D954" s="5"/>
    </row>
    <row r="955" spans="1:4" x14ac:dyDescent="0.3">
      <c r="A955" s="4" t="s">
        <v>117</v>
      </c>
      <c r="B955" s="4" t="s">
        <v>24</v>
      </c>
      <c r="C955" s="4" t="str">
        <f t="shared" si="14"/>
        <v>อุดรธานี|รย.1-เก๋ง 2 ตอน</v>
      </c>
      <c r="D955" s="5"/>
    </row>
    <row r="956" spans="1:4" x14ac:dyDescent="0.3">
      <c r="A956" s="4" t="s">
        <v>117</v>
      </c>
      <c r="B956" s="4" t="s">
        <v>26</v>
      </c>
      <c r="C956" s="4" t="str">
        <f t="shared" si="14"/>
        <v>อุดรธานี|รย.1-นั่ง 2 ตอน</v>
      </c>
      <c r="D956" s="5"/>
    </row>
    <row r="957" spans="1:4" x14ac:dyDescent="0.3">
      <c r="A957" s="4" t="s">
        <v>117</v>
      </c>
      <c r="B957" s="4" t="s">
        <v>27</v>
      </c>
      <c r="C957" s="4" t="str">
        <f t="shared" si="14"/>
        <v>อุดรธานี|รย.1-นั่ง 3 ตอน</v>
      </c>
      <c r="D957" s="5"/>
    </row>
    <row r="958" spans="1:4" x14ac:dyDescent="0.3">
      <c r="A958" s="4" t="s">
        <v>117</v>
      </c>
      <c r="B958" s="4" t="s">
        <v>28</v>
      </c>
      <c r="C958" s="4" t="str">
        <f t="shared" si="14"/>
        <v>อุดรธานี|รย.2-นั่ง 2 แถว</v>
      </c>
      <c r="D958" s="5"/>
    </row>
    <row r="959" spans="1:4" x14ac:dyDescent="0.3">
      <c r="A959" s="4" t="s">
        <v>117</v>
      </c>
      <c r="B959" s="4" t="s">
        <v>29</v>
      </c>
      <c r="C959" s="4" t="str">
        <f t="shared" si="14"/>
        <v>อุดรธานี|รย.2-นั่ง 4 ตอน</v>
      </c>
      <c r="D959" s="5"/>
    </row>
    <row r="960" spans="1:4" x14ac:dyDescent="0.3">
      <c r="A960" s="4" t="s">
        <v>117</v>
      </c>
      <c r="B960" s="4" t="s">
        <v>30</v>
      </c>
      <c r="C960" s="4" t="str">
        <f t="shared" si="14"/>
        <v>อุดรธานี|รย.3-กระบะบรรทุก</v>
      </c>
      <c r="D960" s="5"/>
    </row>
    <row r="961" spans="1:4" x14ac:dyDescent="0.3">
      <c r="A961" s="4" t="s">
        <v>117</v>
      </c>
      <c r="B961" s="4" t="s">
        <v>31</v>
      </c>
      <c r="C961" s="4" t="str">
        <f t="shared" si="14"/>
        <v>อุดรธานี|รย.3-กระบะบรรทุกมีหลังคา</v>
      </c>
      <c r="D961" s="5"/>
    </row>
    <row r="962" spans="1:4" x14ac:dyDescent="0.3">
      <c r="A962" s="4" t="s">
        <v>117</v>
      </c>
      <c r="B962" s="4" t="s">
        <v>32</v>
      </c>
      <c r="C962" s="4" t="str">
        <f t="shared" ref="C962:C1025" si="15">A962&amp;"|"&amp;B962</f>
        <v>อุดรธานี|รย.3-กระบะบรรทุกมีหลังคาแหนบ</v>
      </c>
      <c r="D962" s="5"/>
    </row>
    <row r="963" spans="1:4" x14ac:dyDescent="0.3">
      <c r="A963" s="4" t="s">
        <v>117</v>
      </c>
      <c r="B963" s="4" t="s">
        <v>33</v>
      </c>
      <c r="C963" s="4" t="str">
        <f t="shared" si="15"/>
        <v>อุดรธานี|รย.3-ตู้บรรทุก</v>
      </c>
      <c r="D963" s="5"/>
    </row>
    <row r="964" spans="1:4" x14ac:dyDescent="0.3">
      <c r="A964" s="4" t="s">
        <v>118</v>
      </c>
      <c r="B964" s="4" t="s">
        <v>19</v>
      </c>
      <c r="C964" s="4" t="str">
        <f t="shared" si="15"/>
        <v>อุตรดิตถ์|รย.12-น้อยกว่า 300cc</v>
      </c>
      <c r="D964" s="5"/>
    </row>
    <row r="965" spans="1:4" x14ac:dyDescent="0.3">
      <c r="A965" s="4" t="s">
        <v>118</v>
      </c>
      <c r="B965" s="4" t="s">
        <v>21</v>
      </c>
      <c r="C965" s="4" t="str">
        <f t="shared" si="15"/>
        <v>อุตรดิตถ์|รย.12-300-799cc</v>
      </c>
      <c r="D965" s="5"/>
    </row>
    <row r="966" spans="1:4" x14ac:dyDescent="0.3">
      <c r="A966" s="4" t="s">
        <v>118</v>
      </c>
      <c r="B966" s="4" t="s">
        <v>22</v>
      </c>
      <c r="C966" s="4" t="str">
        <f t="shared" si="15"/>
        <v>อุตรดิตถ์|รย.12-800-999cc</v>
      </c>
      <c r="D966" s="5"/>
    </row>
    <row r="967" spans="1:4" x14ac:dyDescent="0.3">
      <c r="A967" s="4" t="s">
        <v>118</v>
      </c>
      <c r="B967" s="4" t="s">
        <v>23</v>
      </c>
      <c r="C967" s="4" t="str">
        <f t="shared" si="15"/>
        <v>อุตรดิตถ์|รย.12-1000cc ขึ้นไป</v>
      </c>
      <c r="D967" s="5"/>
    </row>
    <row r="968" spans="1:4" x14ac:dyDescent="0.3">
      <c r="A968" s="4" t="s">
        <v>118</v>
      </c>
      <c r="B968" s="4" t="s">
        <v>24</v>
      </c>
      <c r="C968" s="4" t="str">
        <f t="shared" si="15"/>
        <v>อุตรดิตถ์|รย.1-เก๋ง 2 ตอน</v>
      </c>
      <c r="D968" s="5"/>
    </row>
    <row r="969" spans="1:4" x14ac:dyDescent="0.3">
      <c r="A969" s="4" t="s">
        <v>118</v>
      </c>
      <c r="B969" s="4" t="s">
        <v>26</v>
      </c>
      <c r="C969" s="4" t="str">
        <f t="shared" si="15"/>
        <v>อุตรดิตถ์|รย.1-นั่ง 2 ตอน</v>
      </c>
      <c r="D969" s="5"/>
    </row>
    <row r="970" spans="1:4" x14ac:dyDescent="0.3">
      <c r="A970" s="4" t="s">
        <v>118</v>
      </c>
      <c r="B970" s="4" t="s">
        <v>27</v>
      </c>
      <c r="C970" s="4" t="str">
        <f t="shared" si="15"/>
        <v>อุตรดิตถ์|รย.1-นั่ง 3 ตอน</v>
      </c>
      <c r="D970" s="5"/>
    </row>
    <row r="971" spans="1:4" x14ac:dyDescent="0.3">
      <c r="A971" s="4" t="s">
        <v>118</v>
      </c>
      <c r="B971" s="4" t="s">
        <v>28</v>
      </c>
      <c r="C971" s="4" t="str">
        <f t="shared" si="15"/>
        <v>อุตรดิตถ์|รย.2-นั่ง 2 แถว</v>
      </c>
      <c r="D971" s="5"/>
    </row>
    <row r="972" spans="1:4" x14ac:dyDescent="0.3">
      <c r="A972" s="4" t="s">
        <v>118</v>
      </c>
      <c r="B972" s="4" t="s">
        <v>29</v>
      </c>
      <c r="C972" s="4" t="str">
        <f t="shared" si="15"/>
        <v>อุตรดิตถ์|รย.2-นั่ง 4 ตอน</v>
      </c>
      <c r="D972" s="5"/>
    </row>
    <row r="973" spans="1:4" x14ac:dyDescent="0.3">
      <c r="A973" s="4" t="s">
        <v>118</v>
      </c>
      <c r="B973" s="4" t="s">
        <v>30</v>
      </c>
      <c r="C973" s="4" t="str">
        <f t="shared" si="15"/>
        <v>อุตรดิตถ์|รย.3-กระบะบรรทุก</v>
      </c>
      <c r="D973" s="5"/>
    </row>
    <row r="974" spans="1:4" x14ac:dyDescent="0.3">
      <c r="A974" s="4" t="s">
        <v>118</v>
      </c>
      <c r="B974" s="4" t="s">
        <v>31</v>
      </c>
      <c r="C974" s="4" t="str">
        <f t="shared" si="15"/>
        <v>อุตรดิตถ์|รย.3-กระบะบรรทุกมีหลังคา</v>
      </c>
      <c r="D974" s="5"/>
    </row>
    <row r="975" spans="1:4" x14ac:dyDescent="0.3">
      <c r="A975" s="4" t="s">
        <v>118</v>
      </c>
      <c r="B975" s="4" t="s">
        <v>32</v>
      </c>
      <c r="C975" s="4" t="str">
        <f t="shared" si="15"/>
        <v>อุตรดิตถ์|รย.3-กระบะบรรทุกมีหลังคาแหนบ</v>
      </c>
      <c r="D975" s="5"/>
    </row>
    <row r="976" spans="1:4" x14ac:dyDescent="0.3">
      <c r="A976" s="4" t="s">
        <v>118</v>
      </c>
      <c r="B976" s="4" t="s">
        <v>33</v>
      </c>
      <c r="C976" s="4" t="str">
        <f t="shared" si="15"/>
        <v>อุตรดิตถ์|รย.3-ตู้บรรทุก</v>
      </c>
      <c r="D976" s="5"/>
    </row>
    <row r="977" spans="1:4" x14ac:dyDescent="0.3">
      <c r="A977" s="4" t="s">
        <v>119</v>
      </c>
      <c r="B977" s="4" t="s">
        <v>19</v>
      </c>
      <c r="C977" s="4" t="str">
        <f t="shared" si="15"/>
        <v>อุทัยธานี|รย.12-น้อยกว่า 300cc</v>
      </c>
      <c r="D977" s="5"/>
    </row>
    <row r="978" spans="1:4" x14ac:dyDescent="0.3">
      <c r="A978" s="4" t="s">
        <v>119</v>
      </c>
      <c r="B978" s="4" t="s">
        <v>21</v>
      </c>
      <c r="C978" s="4" t="str">
        <f t="shared" si="15"/>
        <v>อุทัยธานี|รย.12-300-799cc</v>
      </c>
      <c r="D978" s="5"/>
    </row>
    <row r="979" spans="1:4" x14ac:dyDescent="0.3">
      <c r="A979" s="4" t="s">
        <v>119</v>
      </c>
      <c r="B979" s="4" t="s">
        <v>22</v>
      </c>
      <c r="C979" s="4" t="str">
        <f t="shared" si="15"/>
        <v>อุทัยธานี|รย.12-800-999cc</v>
      </c>
      <c r="D979" s="5"/>
    </row>
    <row r="980" spans="1:4" x14ac:dyDescent="0.3">
      <c r="A980" s="4" t="s">
        <v>119</v>
      </c>
      <c r="B980" s="4" t="s">
        <v>23</v>
      </c>
      <c r="C980" s="4" t="str">
        <f t="shared" si="15"/>
        <v>อุทัยธานี|รย.12-1000cc ขึ้นไป</v>
      </c>
      <c r="D980" s="5"/>
    </row>
    <row r="981" spans="1:4" x14ac:dyDescent="0.3">
      <c r="A981" s="4" t="s">
        <v>119</v>
      </c>
      <c r="B981" s="4" t="s">
        <v>24</v>
      </c>
      <c r="C981" s="4" t="str">
        <f t="shared" si="15"/>
        <v>อุทัยธานี|รย.1-เก๋ง 2 ตอน</v>
      </c>
      <c r="D981" s="5"/>
    </row>
    <row r="982" spans="1:4" x14ac:dyDescent="0.3">
      <c r="A982" s="4" t="s">
        <v>119</v>
      </c>
      <c r="B982" s="4" t="s">
        <v>26</v>
      </c>
      <c r="C982" s="4" t="str">
        <f t="shared" si="15"/>
        <v>อุทัยธานี|รย.1-นั่ง 2 ตอน</v>
      </c>
      <c r="D982" s="5"/>
    </row>
    <row r="983" spans="1:4" x14ac:dyDescent="0.3">
      <c r="A983" s="4" t="s">
        <v>119</v>
      </c>
      <c r="B983" s="4" t="s">
        <v>27</v>
      </c>
      <c r="C983" s="4" t="str">
        <f t="shared" si="15"/>
        <v>อุทัยธานี|รย.1-นั่ง 3 ตอน</v>
      </c>
      <c r="D983" s="5"/>
    </row>
    <row r="984" spans="1:4" x14ac:dyDescent="0.3">
      <c r="A984" s="4" t="s">
        <v>119</v>
      </c>
      <c r="B984" s="4" t="s">
        <v>28</v>
      </c>
      <c r="C984" s="4" t="str">
        <f t="shared" si="15"/>
        <v>อุทัยธานี|รย.2-นั่ง 2 แถว</v>
      </c>
      <c r="D984" s="5"/>
    </row>
    <row r="985" spans="1:4" x14ac:dyDescent="0.3">
      <c r="A985" s="4" t="s">
        <v>119</v>
      </c>
      <c r="B985" s="4" t="s">
        <v>29</v>
      </c>
      <c r="C985" s="4" t="str">
        <f t="shared" si="15"/>
        <v>อุทัยธานี|รย.2-นั่ง 4 ตอน</v>
      </c>
      <c r="D985" s="5"/>
    </row>
    <row r="986" spans="1:4" x14ac:dyDescent="0.3">
      <c r="A986" s="4" t="s">
        <v>119</v>
      </c>
      <c r="B986" s="4" t="s">
        <v>30</v>
      </c>
      <c r="C986" s="4" t="str">
        <f t="shared" si="15"/>
        <v>อุทัยธานี|รย.3-กระบะบรรทุก</v>
      </c>
      <c r="D986" s="5"/>
    </row>
    <row r="987" spans="1:4" x14ac:dyDescent="0.3">
      <c r="A987" s="4" t="s">
        <v>119</v>
      </c>
      <c r="B987" s="4" t="s">
        <v>31</v>
      </c>
      <c r="C987" s="4" t="str">
        <f t="shared" si="15"/>
        <v>อุทัยธานี|รย.3-กระบะบรรทุกมีหลังคา</v>
      </c>
      <c r="D987" s="5"/>
    </row>
    <row r="988" spans="1:4" x14ac:dyDescent="0.3">
      <c r="A988" s="4" t="s">
        <v>119</v>
      </c>
      <c r="B988" s="4" t="s">
        <v>32</v>
      </c>
      <c r="C988" s="4" t="str">
        <f t="shared" si="15"/>
        <v>อุทัยธานี|รย.3-กระบะบรรทุกมีหลังคาแหนบ</v>
      </c>
      <c r="D988" s="5"/>
    </row>
    <row r="989" spans="1:4" x14ac:dyDescent="0.3">
      <c r="A989" s="4" t="s">
        <v>119</v>
      </c>
      <c r="B989" s="4" t="s">
        <v>33</v>
      </c>
      <c r="C989" s="4" t="str">
        <f t="shared" si="15"/>
        <v>อุทัยธานี|รย.3-ตู้บรรทุก</v>
      </c>
      <c r="D989" s="5"/>
    </row>
    <row r="990" spans="1:4" x14ac:dyDescent="0.3">
      <c r="A990" s="4" t="s">
        <v>120</v>
      </c>
      <c r="B990" s="4" t="s">
        <v>19</v>
      </c>
      <c r="C990" s="4" t="str">
        <f t="shared" si="15"/>
        <v>อุบลราชธานี|รย.12-น้อยกว่า 300cc</v>
      </c>
      <c r="D990" s="5"/>
    </row>
    <row r="991" spans="1:4" x14ac:dyDescent="0.3">
      <c r="A991" s="4" t="s">
        <v>120</v>
      </c>
      <c r="B991" s="4" t="s">
        <v>21</v>
      </c>
      <c r="C991" s="4" t="str">
        <f t="shared" si="15"/>
        <v>อุบลราชธานี|รย.12-300-799cc</v>
      </c>
      <c r="D991" s="5"/>
    </row>
    <row r="992" spans="1:4" x14ac:dyDescent="0.3">
      <c r="A992" s="4" t="s">
        <v>120</v>
      </c>
      <c r="B992" s="4" t="s">
        <v>22</v>
      </c>
      <c r="C992" s="4" t="str">
        <f t="shared" si="15"/>
        <v>อุบลราชธานี|รย.12-800-999cc</v>
      </c>
      <c r="D992" s="5"/>
    </row>
    <row r="993" spans="1:4" x14ac:dyDescent="0.3">
      <c r="A993" s="4" t="s">
        <v>120</v>
      </c>
      <c r="B993" s="4" t="s">
        <v>23</v>
      </c>
      <c r="C993" s="4" t="str">
        <f t="shared" si="15"/>
        <v>อุบลราชธานี|รย.12-1000cc ขึ้นไป</v>
      </c>
      <c r="D993" s="5"/>
    </row>
    <row r="994" spans="1:4" x14ac:dyDescent="0.3">
      <c r="A994" s="4" t="s">
        <v>120</v>
      </c>
      <c r="B994" s="4" t="s">
        <v>24</v>
      </c>
      <c r="C994" s="4" t="str">
        <f t="shared" si="15"/>
        <v>อุบลราชธานี|รย.1-เก๋ง 2 ตอน</v>
      </c>
      <c r="D994" s="5"/>
    </row>
    <row r="995" spans="1:4" x14ac:dyDescent="0.3">
      <c r="A995" s="4" t="s">
        <v>120</v>
      </c>
      <c r="B995" s="4" t="s">
        <v>26</v>
      </c>
      <c r="C995" s="4" t="str">
        <f t="shared" si="15"/>
        <v>อุบลราชธานี|รย.1-นั่ง 2 ตอน</v>
      </c>
      <c r="D995" s="5"/>
    </row>
    <row r="996" spans="1:4" x14ac:dyDescent="0.3">
      <c r="A996" s="4" t="s">
        <v>120</v>
      </c>
      <c r="B996" s="4" t="s">
        <v>27</v>
      </c>
      <c r="C996" s="4" t="str">
        <f t="shared" si="15"/>
        <v>อุบลราชธานี|รย.1-นั่ง 3 ตอน</v>
      </c>
      <c r="D996" s="5"/>
    </row>
    <row r="997" spans="1:4" x14ac:dyDescent="0.3">
      <c r="A997" s="4" t="s">
        <v>120</v>
      </c>
      <c r="B997" s="4" t="s">
        <v>28</v>
      </c>
      <c r="C997" s="4" t="str">
        <f t="shared" si="15"/>
        <v>อุบลราชธานี|รย.2-นั่ง 2 แถว</v>
      </c>
      <c r="D997" s="5"/>
    </row>
    <row r="998" spans="1:4" x14ac:dyDescent="0.3">
      <c r="A998" s="4" t="s">
        <v>120</v>
      </c>
      <c r="B998" s="4" t="s">
        <v>29</v>
      </c>
      <c r="C998" s="4" t="str">
        <f t="shared" si="15"/>
        <v>อุบลราชธานี|รย.2-นั่ง 4 ตอน</v>
      </c>
      <c r="D998" s="5"/>
    </row>
    <row r="999" spans="1:4" x14ac:dyDescent="0.3">
      <c r="A999" s="4" t="s">
        <v>120</v>
      </c>
      <c r="B999" s="4" t="s">
        <v>30</v>
      </c>
      <c r="C999" s="4" t="str">
        <f t="shared" si="15"/>
        <v>อุบลราชธานี|รย.3-กระบะบรรทุก</v>
      </c>
      <c r="D999" s="5"/>
    </row>
    <row r="1000" spans="1:4" x14ac:dyDescent="0.3">
      <c r="A1000" s="4" t="s">
        <v>120</v>
      </c>
      <c r="B1000" s="4" t="s">
        <v>31</v>
      </c>
      <c r="C1000" s="4" t="str">
        <f t="shared" si="15"/>
        <v>อุบลราชธานี|รย.3-กระบะบรรทุกมีหลังคา</v>
      </c>
      <c r="D1000" s="5"/>
    </row>
    <row r="1001" spans="1:4" x14ac:dyDescent="0.3">
      <c r="A1001" s="4" t="s">
        <v>120</v>
      </c>
      <c r="B1001" s="4" t="s">
        <v>32</v>
      </c>
      <c r="C1001" s="4" t="str">
        <f t="shared" si="15"/>
        <v>อุบลราชธานี|รย.3-กระบะบรรทุกมีหลังคาแหนบ</v>
      </c>
      <c r="D1001" s="5"/>
    </row>
    <row r="1002" spans="1:4" x14ac:dyDescent="0.3">
      <c r="A1002" s="4" t="s">
        <v>120</v>
      </c>
      <c r="B1002" s="4" t="s">
        <v>33</v>
      </c>
      <c r="C1002" s="4" t="str">
        <f t="shared" si="15"/>
        <v>อุบลราชธานี|รย.3-ตู้บรรทุก</v>
      </c>
      <c r="D1002" s="5"/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14" customWidth="1"/>
    <col min="3" max="3" width="60" customWidth="1"/>
  </cols>
  <sheetData>
    <row r="1" spans="1:3" x14ac:dyDescent="0.3">
      <c r="A1" s="3" t="s">
        <v>133</v>
      </c>
      <c r="B1" s="3" t="s">
        <v>134</v>
      </c>
      <c r="C1" s="3" t="s">
        <v>35</v>
      </c>
    </row>
    <row r="2" spans="1:3" x14ac:dyDescent="0.3">
      <c r="A2" s="4" t="s">
        <v>135</v>
      </c>
      <c r="B2" s="5">
        <v>5</v>
      </c>
      <c r="C2" s="7" t="s">
        <v>136</v>
      </c>
    </row>
    <row r="3" spans="1:3" x14ac:dyDescent="0.3">
      <c r="A3" s="4" t="s">
        <v>137</v>
      </c>
      <c r="B3" s="5">
        <v>10</v>
      </c>
      <c r="C3" s="7" t="s">
        <v>138</v>
      </c>
    </row>
    <row r="4" spans="1:3" x14ac:dyDescent="0.3">
      <c r="A4" s="4" t="s">
        <v>139</v>
      </c>
      <c r="B4" s="5">
        <v>20</v>
      </c>
      <c r="C4" s="7" t="s">
        <v>140</v>
      </c>
    </row>
    <row r="5" spans="1:3" x14ac:dyDescent="0.3">
      <c r="A5" s="4" t="s">
        <v>141</v>
      </c>
      <c r="B5" s="5">
        <v>50</v>
      </c>
      <c r="C5" s="7" t="s">
        <v>1</v>
      </c>
    </row>
    <row r="6" spans="1:3" x14ac:dyDescent="0.3">
      <c r="A6" s="4" t="s">
        <v>142</v>
      </c>
      <c r="B6" s="5">
        <v>200</v>
      </c>
      <c r="C6" s="7" t="s">
        <v>1</v>
      </c>
    </row>
    <row r="7" spans="1:3" x14ac:dyDescent="0.3">
      <c r="A7" s="4" t="s">
        <v>143</v>
      </c>
      <c r="B7" s="5">
        <v>100</v>
      </c>
      <c r="C7" s="7" t="s">
        <v>1</v>
      </c>
    </row>
    <row r="8" spans="1:3" x14ac:dyDescent="0.3">
      <c r="A8" s="4" t="s">
        <v>144</v>
      </c>
      <c r="B8" s="5">
        <v>0</v>
      </c>
      <c r="C8" s="7" t="s">
        <v>145</v>
      </c>
    </row>
    <row r="9" spans="1:3" x14ac:dyDescent="0.3">
      <c r="A9" s="4" t="s">
        <v>146</v>
      </c>
      <c r="B9" s="5">
        <v>1500</v>
      </c>
      <c r="C9" s="7" t="s">
        <v>1</v>
      </c>
    </row>
    <row r="10" spans="1:3" x14ac:dyDescent="0.3">
      <c r="A10" s="4" t="s">
        <v>147</v>
      </c>
      <c r="B10" s="5">
        <v>500</v>
      </c>
      <c r="C10" s="7" t="s">
        <v>1</v>
      </c>
    </row>
    <row r="11" spans="1:3" x14ac:dyDescent="0.3">
      <c r="A11" s="4" t="s">
        <v>148</v>
      </c>
      <c r="B11" s="5">
        <v>200</v>
      </c>
      <c r="C11" s="7" t="s">
        <v>1</v>
      </c>
    </row>
    <row r="12" spans="1:3" x14ac:dyDescent="0.3">
      <c r="A12" s="4" t="s">
        <v>149</v>
      </c>
      <c r="B12" s="5">
        <v>1200</v>
      </c>
      <c r="C12" s="7" t="s">
        <v>1</v>
      </c>
    </row>
    <row r="13" spans="1:3" x14ac:dyDescent="0.3">
      <c r="A13" s="4" t="s">
        <v>150</v>
      </c>
      <c r="B13" s="5">
        <v>50</v>
      </c>
      <c r="C13" s="7" t="s">
        <v>151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4.4" x14ac:dyDescent="0.3"/>
  <cols>
    <col min="1" max="1" width="40" customWidth="1"/>
    <col min="2" max="2" width="14" customWidth="1"/>
    <col min="3" max="3" width="60" customWidth="1"/>
  </cols>
  <sheetData>
    <row r="1" spans="1:3" x14ac:dyDescent="0.3">
      <c r="A1" s="3" t="s">
        <v>133</v>
      </c>
      <c r="B1" s="3" t="s">
        <v>134</v>
      </c>
      <c r="C1" s="3" t="s">
        <v>35</v>
      </c>
    </row>
    <row r="2" spans="1:3" x14ac:dyDescent="0.3">
      <c r="A2" s="4" t="s">
        <v>152</v>
      </c>
      <c r="B2" s="5">
        <v>10</v>
      </c>
      <c r="C2" s="7" t="s">
        <v>1</v>
      </c>
    </row>
    <row r="3" spans="1:3" x14ac:dyDescent="0.3">
      <c r="A3" s="4" t="s">
        <v>153</v>
      </c>
      <c r="B3" s="5">
        <v>30</v>
      </c>
      <c r="C3" s="7" t="s">
        <v>1</v>
      </c>
    </row>
    <row r="4" spans="1:3" x14ac:dyDescent="0.3">
      <c r="A4" s="4" t="s">
        <v>154</v>
      </c>
      <c r="B4" s="5">
        <v>50</v>
      </c>
      <c r="C4" s="7" t="s">
        <v>1</v>
      </c>
    </row>
    <row r="5" spans="1:3" x14ac:dyDescent="0.3">
      <c r="A5" s="4" t="s">
        <v>155</v>
      </c>
      <c r="B5" s="5">
        <v>100</v>
      </c>
      <c r="C5" s="7" t="s">
        <v>1</v>
      </c>
    </row>
    <row r="6" spans="1:3" x14ac:dyDescent="0.3">
      <c r="A6" s="4" t="s">
        <v>156</v>
      </c>
      <c r="B6" s="5">
        <v>50</v>
      </c>
      <c r="C6" s="7" t="s">
        <v>1</v>
      </c>
    </row>
    <row r="7" spans="1:3" x14ac:dyDescent="0.3">
      <c r="A7" s="4" t="s">
        <v>157</v>
      </c>
      <c r="B7" s="5">
        <v>50</v>
      </c>
      <c r="C7" s="7" t="s">
        <v>1</v>
      </c>
    </row>
    <row r="8" spans="1:3" x14ac:dyDescent="0.3">
      <c r="A8" s="4" t="s">
        <v>158</v>
      </c>
      <c r="B8" s="5">
        <v>50</v>
      </c>
      <c r="C8" s="7" t="s">
        <v>1</v>
      </c>
    </row>
    <row r="9" spans="1:3" x14ac:dyDescent="0.3">
      <c r="A9" s="4" t="s">
        <v>159</v>
      </c>
      <c r="B9" s="5">
        <v>50</v>
      </c>
      <c r="C9" s="7" t="s">
        <v>1</v>
      </c>
    </row>
    <row r="10" spans="1:3" x14ac:dyDescent="0.3">
      <c r="A10" s="4" t="s">
        <v>160</v>
      </c>
      <c r="B10" s="5">
        <v>50</v>
      </c>
      <c r="C10" s="7" t="s">
        <v>1</v>
      </c>
    </row>
    <row r="11" spans="1:3" x14ac:dyDescent="0.3">
      <c r="A11" s="4" t="s">
        <v>161</v>
      </c>
      <c r="B11" s="5">
        <v>50</v>
      </c>
      <c r="C11" s="7" t="s">
        <v>162</v>
      </c>
    </row>
    <row r="12" spans="1:3" x14ac:dyDescent="0.3">
      <c r="A12" s="4" t="s">
        <v>163</v>
      </c>
      <c r="B12" s="5">
        <v>50</v>
      </c>
      <c r="C12" s="7" t="s">
        <v>1</v>
      </c>
    </row>
    <row r="13" spans="1:3" x14ac:dyDescent="0.3">
      <c r="A13" s="4" t="s">
        <v>164</v>
      </c>
      <c r="B13" s="5">
        <v>100</v>
      </c>
      <c r="C13" s="7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14" customWidth="1"/>
    <col min="3" max="3" width="60" customWidth="1"/>
  </cols>
  <sheetData>
    <row r="1" spans="1:3" x14ac:dyDescent="0.3">
      <c r="A1" s="3" t="s">
        <v>133</v>
      </c>
      <c r="B1" s="3" t="s">
        <v>134</v>
      </c>
      <c r="C1" s="3" t="s">
        <v>35</v>
      </c>
    </row>
    <row r="2" spans="1:3" x14ac:dyDescent="0.3">
      <c r="A2" s="4" t="s">
        <v>135</v>
      </c>
      <c r="B2" s="5">
        <v>5</v>
      </c>
      <c r="C2" s="7" t="s">
        <v>136</v>
      </c>
    </row>
    <row r="3" spans="1:3" x14ac:dyDescent="0.3">
      <c r="A3" s="4" t="s">
        <v>137</v>
      </c>
      <c r="B3" s="5">
        <v>10</v>
      </c>
      <c r="C3" s="7" t="s">
        <v>138</v>
      </c>
    </row>
    <row r="4" spans="1:3" x14ac:dyDescent="0.3">
      <c r="A4" s="4" t="s">
        <v>139</v>
      </c>
      <c r="B4" s="5">
        <v>20</v>
      </c>
      <c r="C4" s="7" t="s">
        <v>140</v>
      </c>
    </row>
    <row r="5" spans="1:3" x14ac:dyDescent="0.3">
      <c r="A5" s="4" t="s">
        <v>165</v>
      </c>
      <c r="B5" s="5">
        <v>100</v>
      </c>
      <c r="C5" s="7" t="s">
        <v>1</v>
      </c>
    </row>
    <row r="6" spans="1:3" x14ac:dyDescent="0.3">
      <c r="A6" s="4" t="s">
        <v>166</v>
      </c>
      <c r="B6" s="5">
        <v>100</v>
      </c>
      <c r="C6" s="7" t="s">
        <v>1</v>
      </c>
    </row>
    <row r="7" spans="1:3" x14ac:dyDescent="0.3">
      <c r="A7" s="4" t="s">
        <v>167</v>
      </c>
      <c r="B7" s="5">
        <v>100</v>
      </c>
      <c r="C7" s="7" t="s">
        <v>1</v>
      </c>
    </row>
    <row r="8" spans="1:3" x14ac:dyDescent="0.3">
      <c r="A8" s="4" t="s">
        <v>168</v>
      </c>
      <c r="B8" s="5">
        <v>100</v>
      </c>
      <c r="C8" s="7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14" customWidth="1"/>
    <col min="3" max="3" width="60" customWidth="1"/>
  </cols>
  <sheetData>
    <row r="1" spans="1:3" x14ac:dyDescent="0.3">
      <c r="A1" s="3" t="s">
        <v>133</v>
      </c>
      <c r="B1" s="3" t="s">
        <v>134</v>
      </c>
      <c r="C1" s="3" t="s">
        <v>35</v>
      </c>
    </row>
    <row r="2" spans="1:3" x14ac:dyDescent="0.3">
      <c r="A2" s="4" t="s">
        <v>152</v>
      </c>
      <c r="B2" s="5">
        <v>10</v>
      </c>
      <c r="C2" s="7" t="s">
        <v>1</v>
      </c>
    </row>
    <row r="3" spans="1:3" x14ac:dyDescent="0.3">
      <c r="A3" s="4" t="s">
        <v>153</v>
      </c>
      <c r="B3" s="5">
        <v>30</v>
      </c>
      <c r="C3" s="7" t="s">
        <v>1</v>
      </c>
    </row>
    <row r="4" spans="1:3" x14ac:dyDescent="0.3">
      <c r="A4" s="4" t="s">
        <v>169</v>
      </c>
      <c r="B4" s="5">
        <v>40</v>
      </c>
      <c r="C4" s="7" t="s">
        <v>170</v>
      </c>
    </row>
    <row r="5" spans="1:3" x14ac:dyDescent="0.3">
      <c r="A5" s="4" t="s">
        <v>171</v>
      </c>
      <c r="B5" s="5">
        <v>50</v>
      </c>
      <c r="C5" s="7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B10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outlineLevelCol="1" x14ac:dyDescent="0.3"/>
  <cols>
    <col min="1" max="1" width="6" customWidth="1"/>
    <col min="2" max="2" width="12" customWidth="1"/>
    <col min="3" max="3" width="20" customWidth="1"/>
    <col min="4" max="4" width="18" customWidth="1"/>
    <col min="5" max="5" width="16" customWidth="1"/>
    <col min="6" max="6" width="12" customWidth="1"/>
    <col min="7" max="7" width="14" customWidth="1"/>
    <col min="8" max="8" width="10" customWidth="1"/>
    <col min="9" max="9" width="12" customWidth="1"/>
    <col min="10" max="10" width="10" customWidth="1"/>
    <col min="11" max="11" width="30" customWidth="1"/>
    <col min="12" max="13" width="18" customWidth="1"/>
    <col min="14" max="14" width="12" customWidth="1"/>
    <col min="15" max="15" width="16" customWidth="1"/>
    <col min="16" max="16" width="12" customWidth="1"/>
    <col min="17" max="17" width="14" customWidth="1"/>
    <col min="18" max="18" width="12" customWidth="1"/>
    <col min="19" max="19" width="16" customWidth="1"/>
    <col min="20" max="20" width="12" customWidth="1"/>
    <col min="21" max="21" width="14" customWidth="1"/>
    <col min="22" max="22" width="10" customWidth="1"/>
    <col min="23" max="23" width="14" customWidth="1"/>
    <col min="24" max="24" width="12" customWidth="1"/>
    <col min="25" max="26" width="14" customWidth="1"/>
    <col min="27" max="28" width="16" customWidth="1"/>
    <col min="29" max="32" width="14" customWidth="1"/>
    <col min="33" max="33" width="10" customWidth="1"/>
    <col min="34" max="34" width="14" customWidth="1"/>
    <col min="35" max="35" width="12" customWidth="1"/>
    <col min="36" max="37" width="10" customWidth="1"/>
    <col min="38" max="38" width="14" customWidth="1"/>
    <col min="39" max="40" width="12" customWidth="1"/>
    <col min="41" max="41" width="14" customWidth="1"/>
    <col min="42" max="42" width="12" customWidth="1"/>
    <col min="43" max="43" width="16" customWidth="1"/>
    <col min="44" max="44" width="12" customWidth="1"/>
    <col min="45" max="45" width="16" customWidth="1"/>
    <col min="46" max="46" width="12" customWidth="1"/>
    <col min="47" max="47" width="16" customWidth="1"/>
    <col min="48" max="48" width="14" customWidth="1"/>
    <col min="49" max="49" width="16" customWidth="1"/>
    <col min="50" max="50" width="14" customWidth="1"/>
    <col min="51" max="51" width="18" customWidth="1"/>
    <col min="52" max="52" width="20" customWidth="1"/>
    <col min="53" max="53" width="14" customWidth="1" outlineLevel="1" collapsed="1"/>
    <col min="54" max="54" width="20" customWidth="1" outlineLevel="1" collapsed="1"/>
  </cols>
  <sheetData>
    <row r="1" spans="1:54" ht="31.95" customHeight="1" x14ac:dyDescent="0.3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34</v>
      </c>
      <c r="G1" s="3" t="s">
        <v>177</v>
      </c>
      <c r="H1" s="3" t="s">
        <v>178</v>
      </c>
      <c r="I1" s="3" t="s">
        <v>179</v>
      </c>
      <c r="J1" s="3" t="s">
        <v>180</v>
      </c>
      <c r="K1" s="3" t="s">
        <v>121</v>
      </c>
      <c r="L1" s="3" t="s">
        <v>181</v>
      </c>
      <c r="M1" s="3" t="s">
        <v>182</v>
      </c>
      <c r="N1" s="3" t="s">
        <v>183</v>
      </c>
      <c r="O1" s="8" t="s">
        <v>184</v>
      </c>
      <c r="P1" s="8" t="s">
        <v>185</v>
      </c>
      <c r="Q1" s="8" t="s">
        <v>186</v>
      </c>
      <c r="R1" s="8" t="s">
        <v>187</v>
      </c>
      <c r="S1" s="9" t="s">
        <v>188</v>
      </c>
      <c r="T1" s="9" t="s">
        <v>189</v>
      </c>
      <c r="U1" s="10" t="s">
        <v>190</v>
      </c>
      <c r="V1" s="10" t="s">
        <v>191</v>
      </c>
      <c r="W1" s="10" t="s">
        <v>192</v>
      </c>
      <c r="X1" s="10" t="s">
        <v>193</v>
      </c>
      <c r="Y1" s="10" t="s">
        <v>142</v>
      </c>
      <c r="Z1" s="10" t="s">
        <v>167</v>
      </c>
      <c r="AA1" s="10" t="s">
        <v>194</v>
      </c>
      <c r="AB1" s="10" t="s">
        <v>195</v>
      </c>
      <c r="AC1" s="10" t="s">
        <v>196</v>
      </c>
      <c r="AD1" s="10" t="s">
        <v>197</v>
      </c>
      <c r="AE1" s="10" t="s">
        <v>198</v>
      </c>
      <c r="AF1" s="10" t="s">
        <v>199</v>
      </c>
      <c r="AG1" s="10" t="s">
        <v>200</v>
      </c>
      <c r="AH1" s="10" t="s">
        <v>201</v>
      </c>
      <c r="AI1" s="11" t="s">
        <v>202</v>
      </c>
      <c r="AJ1" s="11" t="s">
        <v>203</v>
      </c>
      <c r="AK1" s="11" t="s">
        <v>204</v>
      </c>
      <c r="AL1" s="11" t="s">
        <v>205</v>
      </c>
      <c r="AM1" s="11" t="s">
        <v>206</v>
      </c>
      <c r="AN1" s="11" t="s">
        <v>207</v>
      </c>
      <c r="AO1" s="12" t="s">
        <v>208</v>
      </c>
      <c r="AP1" s="13" t="s">
        <v>209</v>
      </c>
      <c r="AQ1" s="13" t="s">
        <v>210</v>
      </c>
      <c r="AR1" s="13" t="s">
        <v>211</v>
      </c>
      <c r="AS1" s="13" t="s">
        <v>212</v>
      </c>
      <c r="AT1" s="13" t="s">
        <v>213</v>
      </c>
      <c r="AU1" s="13" t="s">
        <v>214</v>
      </c>
      <c r="AV1" s="13" t="s">
        <v>215</v>
      </c>
      <c r="AW1" s="13" t="s">
        <v>216</v>
      </c>
      <c r="AX1" s="13" t="s">
        <v>217</v>
      </c>
      <c r="AY1" s="13" t="s">
        <v>218</v>
      </c>
      <c r="AZ1" s="13" t="s">
        <v>35</v>
      </c>
      <c r="BA1" s="14" t="s">
        <v>219</v>
      </c>
      <c r="BB1" s="14" t="s">
        <v>220</v>
      </c>
    </row>
    <row r="2" spans="1:54" x14ac:dyDescent="0.3">
      <c r="A2" s="15">
        <f t="shared" ref="A2:A33" si="0">IF($K2="","",ROW()-1)</f>
        <v>1</v>
      </c>
      <c r="B2" s="5" t="s">
        <v>221</v>
      </c>
      <c r="C2" s="5" t="s">
        <v>222</v>
      </c>
      <c r="D2" s="5" t="s">
        <v>223</v>
      </c>
      <c r="E2" s="5" t="s">
        <v>224</v>
      </c>
      <c r="F2" s="5" t="s">
        <v>225</v>
      </c>
      <c r="G2" s="5" t="s">
        <v>226</v>
      </c>
      <c r="H2" s="5">
        <v>1998</v>
      </c>
      <c r="I2" s="5">
        <v>1500</v>
      </c>
      <c r="J2" s="5" t="s">
        <v>227</v>
      </c>
      <c r="K2" s="5" t="s">
        <v>24</v>
      </c>
      <c r="L2" s="5" t="s">
        <v>44</v>
      </c>
      <c r="M2" s="5" t="s">
        <v>44</v>
      </c>
      <c r="N2" s="15" t="str">
        <f t="shared" ref="N2:N33" si="1">IF(OR(L2="",M2=""),"",IF(L2&lt;&gt;M2,"ใช่","ไม่ใช่"))</f>
        <v>ไม่ใช่</v>
      </c>
      <c r="O2" s="5" t="s">
        <v>228</v>
      </c>
      <c r="P2" s="15">
        <f>IF($K2="","",IF(O2="ตัดบัญชี",IFERROR(INDEX(Fee_ตัดบัญชี!$D:$D,MATCH(BB2,Fee_ตัดบัญชี!$C:$C,0)),0),0))</f>
        <v>20</v>
      </c>
      <c r="Q2" s="15">
        <f>IF($K2="","",IF(O2="แจ้งย้าย",IFERROR(INDEX(Fee_แจ้งย้าย!$D:$D,MATCH(BB2,Fee_แจ้งย้าย!$C:$C,0)),0),0))</f>
        <v>0</v>
      </c>
      <c r="R2" s="15">
        <f t="shared" ref="R2:R33" si="2">IF($K2="","",IF(O2="แจ้งย้าย",5,0))</f>
        <v>0</v>
      </c>
      <c r="S2" s="5" t="s">
        <v>229</v>
      </c>
      <c r="T2" s="15">
        <f>IF($K2="","",IF(O2&lt;&gt;"ตัดบัญชี",0,IF(S2="กทม.",IFERROR(INDEX(Fee_ตรวจรถ_กทม!$D:$D,MATCH(BB2,Fee_ตรวจรถ_กทม!$C:$C,0)),0),IF(S2="ต่างจังหวัด",IFERROR(INDEX(Fee_ตรวจรถ_ตจว!$D:$D,MATCH(L2&amp;"|"&amp;K2,Fee_ตรวจรถ_ตจว!$C:$C,0)),0),0))))</f>
        <v>150</v>
      </c>
      <c r="U2" s="15" t="str">
        <f t="shared" ref="U2:U33" si="3">IF($K2="","",IF(LEFT(K2,5)="รย.12","รถจักรยานยนต์","รถยนต์"))</f>
        <v>รถยนต์</v>
      </c>
      <c r="V2" s="15">
        <f>IF($K2="","",IF(U2="รถยนต์",IF(N2="ใช่",INDEX(Fee_รถยนต์_Bill!$B:$B,MATCH("ค่าคำขอ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(ปกติ)",Fee_รถยนต์_Bill!$A:$A,0))),IF(N2="ใช่",INDEX(Fee_จยย_Bill!$B:$B,MATCH("ค่าคำขอ (ขอใช้จังหวัดอื่น)",Fee_จยย_Bill!$A:$A,0)),INDEX(Fee_จยย_Bill!$B:$B,MATCH("ค่าคำขอ (ปกติ)",Fee_จยย_Bill!$A:$A,0)))))</f>
        <v>5</v>
      </c>
      <c r="W2" s="15">
        <f>IF($K2="","",IF(N2="ใช่",IF(U2="รถยนต์",INDEX(Fee_รถยนต์_Bill!$B:$B,MATCH("ค่าธรรมเนียมอื่นๆ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>0</v>
      </c>
      <c r="X2" s="15">
        <f>IF($K2="","",IF(U2="รถยนต์",INDEX(Fee_รถยนต์_Bill!$B:$B,MATCH("ค่าตรวจสภาพรถ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>50</v>
      </c>
      <c r="Y2" s="15">
        <f>IF($K2="","",IF(U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>200</v>
      </c>
      <c r="Z2" s="15">
        <f>IF($K2="","",IF(U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>100</v>
      </c>
      <c r="AA2" s="5">
        <v>0</v>
      </c>
      <c r="AB2" s="5" t="s">
        <v>230</v>
      </c>
      <c r="AC2" s="15">
        <f>IF($K2="","",IF(AB2="เลขประมูล",INDEX(Fee_รถยนต์_Bill!$B:$B,MATCH("ค่าขอใช้เลขทะเบียน - เลขประมูล",Fee_รถยนต์_Bill!$A:$A,0)),IF(AB2="ไม่ใช่เลขประมูล",INDEX(Fee_รถยนต์_Bill!$B:$B,MATCH("ค่าขอใช้เลขทะเบียน - ไม่ใช่เลขประมูล",Fee_รถยนต์_Bill!$A:$A,0)),0)))</f>
        <v>500</v>
      </c>
      <c r="AD2" s="5" t="s">
        <v>231</v>
      </c>
      <c r="AE2" s="15">
        <f>IF($K2="","",IF(AD2="ป้ายขาวดำ",INDEX(Fee_รถยนต์_Bill!$B:$B,MATCH("ค่าทำแผ่นป้ายทะเบียนใหม่ - ป้ายขาวดำ",Fee_รถยนต์_Bill!$A:$A,0)),IF(AD2="ป้ายประมูล",INDEX(Fee_รถยนต์_Bill!$B:$B,MATCH("ค่าทำแผ่นป้ายทะเบียนใหม่ - ป้ายประมูล",Fee_รถยนต์_Bill!$A:$A,0)),0)))</f>
        <v>0</v>
      </c>
      <c r="AF2" s="5" t="s">
        <v>232</v>
      </c>
      <c r="AG2" s="15">
        <f>IF($K2="","",IF(AF2="ใช่",INDEX(Fee_รถยนต์_Bill!$B:$B,MATCH("ค่าย้ายออกต่างจังหวัด",Fee_รถยนต์_Bill!$A:$A,0)),0))</f>
        <v>0</v>
      </c>
      <c r="AH2" s="15">
        <f t="shared" ref="AH2:AH33" si="4">IF($K2="","",SUM(V2:AG2))</f>
        <v>855</v>
      </c>
      <c r="AI2" s="5" t="s">
        <v>232</v>
      </c>
      <c r="AJ2" s="15">
        <f>IF($K2="","",IF(U2="รถยนต์",IF(AI2="ใช่",INDEX(Fee_รถยนต์_NoBill!$B:$B,MATCH("ค่าอากร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>10</v>
      </c>
      <c r="AK2" s="15">
        <f>IF($K2="","",IF(U2="รถยนต์",IFERROR(INDEX(Fee_รถยนต์_NoBill!$B:$B,MATCH("ลงขัน - "&amp;K2,Fee_รถยนต์_NoBill!$A:$A,0)),0),IFERROR(INDEX(Fee_จยย_NoBill!$B:$B,MATCH("ลงขัน - รย.12 ทุกประเภท (CC)",Fee_จยย_NoBill!$A:$A,0)),0)))</f>
        <v>50</v>
      </c>
      <c r="AL2" s="5" t="s">
        <v>232</v>
      </c>
      <c r="AM2" s="15">
        <f>IF($K2="","",IF(AL2="ใช่",IF(U2="รถยนต์",INDEX(Fee_รถยนต์_NoBill!$B:$B,MATCH("งานด่วนเพิ่ม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>0</v>
      </c>
      <c r="AN2" s="15">
        <f t="shared" ref="AN2:AN33" si="5">IF($K2="","",SUM(AJ2:AM2))</f>
        <v>60</v>
      </c>
      <c r="AO2" s="16">
        <f t="shared" ref="AO2:AO33" si="6">IF($K2="","",P2+Q2+R2+T2+AH2+AN2)</f>
        <v>1085</v>
      </c>
      <c r="AP2" s="5" t="s">
        <v>233</v>
      </c>
      <c r="AQ2" s="5" t="s">
        <v>234</v>
      </c>
      <c r="AR2" s="5" t="s">
        <v>235</v>
      </c>
      <c r="AS2" s="5" t="s">
        <v>236</v>
      </c>
      <c r="AT2" s="5" t="s">
        <v>235</v>
      </c>
      <c r="AU2" s="5" t="s">
        <v>237</v>
      </c>
      <c r="AV2" s="5" t="s">
        <v>238</v>
      </c>
      <c r="AW2" s="5" t="s">
        <v>239</v>
      </c>
      <c r="AX2" s="5" t="s">
        <v>240</v>
      </c>
      <c r="AY2" s="5" t="s">
        <v>241</v>
      </c>
      <c r="AZ2" s="5" t="s">
        <v>242</v>
      </c>
      <c r="BA2" s="7" t="str">
        <f t="shared" ref="BA2:BA33" si="7">IF($K2="","",IF(AND(K2="รย.1-เก๋ง 2 ตอน",OR(F2="Benz",F2="BMW",F2="Lexus",F2="Volvo")),F2,"อื่นๆ"))</f>
        <v>อื่นๆ</v>
      </c>
      <c r="BB2" s="7" t="str">
        <f t="shared" ref="BB2:BB33" si="8">IF($K2="","",K2&amp;"|"&amp;BA2)</f>
        <v>รย.1-เก๋ง 2 ตอน|อื่นๆ</v>
      </c>
    </row>
    <row r="3" spans="1:54" x14ac:dyDescent="0.3">
      <c r="A3" s="15" t="str">
        <f t="shared" si="0"/>
        <v/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5" t="str">
        <f t="shared" si="1"/>
        <v/>
      </c>
      <c r="O3" s="5"/>
      <c r="P3" s="15" t="str">
        <f>IF($K3="","",IF(O3="ตัดบัญชี",IFERROR(INDEX(Fee_ตัดบัญชี!$D:$D,MATCH(BB3,Fee_ตัดบัญชี!$C:$C,0)),0),0))</f>
        <v/>
      </c>
      <c r="Q3" s="15" t="str">
        <f>IF($K3="","",IF(O3="แจ้งย้าย",IFERROR(INDEX(Fee_แจ้งย้าย!$D:$D,MATCH(BB3,Fee_แจ้งย้าย!$C:$C,0)),0),0))</f>
        <v/>
      </c>
      <c r="R3" s="15" t="str">
        <f t="shared" si="2"/>
        <v/>
      </c>
      <c r="S3" s="5"/>
      <c r="T3" s="15" t="str">
        <f>IF($K3="","",IF(O3&lt;&gt;"ตัดบัญชี",0,IF(S3="กทม.",IFERROR(INDEX(Fee_ตรวจรถ_กทม!$D:$D,MATCH(BB3,Fee_ตรวจรถ_กทม!$C:$C,0)),0),IF(S3="ต่างจังหวัด",IFERROR(INDEX(Fee_ตรวจรถ_ตจว!$D:$D,MATCH(L3&amp;"|"&amp;K3,Fee_ตรวจรถ_ตจว!$C:$C,0)),0),0))))</f>
        <v/>
      </c>
      <c r="U3" s="15" t="str">
        <f t="shared" si="3"/>
        <v/>
      </c>
      <c r="V3" s="15" t="str">
        <f>IF($K3="","",IF(U3="รถยนต์",IF(N3="ใช่",INDEX(Fee_รถยนต์_Bill!$B:$B,MATCH("ค่าคำขอ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" s="15" t="str">
        <f>IF($K3="","",IF(N3="ใช่",IF(U3="รถยนต์",INDEX(Fee_รถยนต์_Bill!$B:$B,MATCH("ค่าธรรมเนียมอื่นๆ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" s="15" t="str">
        <f>IF($K3="","",IF(U3="รถยนต์",INDEX(Fee_รถยนต์_Bill!$B:$B,MATCH("ค่าตรวจสภาพรถ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" s="15" t="str">
        <f>IF($K3="","",IF(U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" s="15" t="str">
        <f>IF($K3="","",IF(U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" s="5"/>
      <c r="AB3" s="5"/>
      <c r="AC3" s="15" t="str">
        <f>IF($K3="","",IF(AB3="เลขประมูล",INDEX(Fee_รถยนต์_Bill!$B:$B,MATCH("ค่าขอใช้เลขทะเบียน - เลขประมูล",Fee_รถยนต์_Bill!$A:$A,0)),IF(AB3="ไม่ใช่เลขประมูล",INDEX(Fee_รถยนต์_Bill!$B:$B,MATCH("ค่าขอใช้เลขทะเบียน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" s="5"/>
      <c r="AE3" s="15" t="str">
        <f>IF($K3="","",IF(AD3="ป้ายขาวดำ",INDEX(Fee_รถยนต์_Bill!$B:$B,MATCH("ค่าทำแผ่นป้ายทะเบียนใหม่ - ป้ายขาวดำ",Fee_รถยนต์_Bill!$A:$A,0)),IF(AD3="ป้ายประมูล",INDEX(Fee_รถยนต์_Bill!$B:$B,MATCH("ค่าทำแผ่นป้ายทะเบียนใหม่ - ป้ายประมูล",Fee_รถยนต์_Bill!$A:$A,0)),0)))</f>
        <v/>
      </c>
      <c r="AF3" s="5"/>
      <c r="AG3" s="15" t="str">
        <f>IF($K3="","",IF(AF3="ใช่",INDEX(Fee_รถยนต์_Bill!$B:$B,MATCH("ค่าย้ายออกต่างจังหวัด",Fee_รถยนต์_Bill!$A:$A,0)),0))</f>
        <v/>
      </c>
      <c r="AH3" s="15" t="str">
        <f t="shared" si="4"/>
        <v/>
      </c>
      <c r="AI3" s="5"/>
      <c r="AJ3" s="15" t="str">
        <f>IF($K3="","",IF(U3="รถยนต์",IF(AI3="ใช่",INDEX(Fee_รถยนต์_NoBill!$B:$B,MATCH("ค่าอากร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" s="15" t="str">
        <f>IF($K3="","",IF(U3="รถยนต์",IFERROR(INDEX(Fee_รถยนต์_NoBill!$B:$B,MATCH("ลงขัน - "&amp;K3,Fee_รถยนต์_NoBill!$A:$A,0)),0),IFERROR(INDEX(Fee_จยย_NoBill!$B:$B,MATCH("ลงขัน - รย.12 ทุกประเภท (CC)",Fee_จยย_NoBill!$A:$A,0)),0)))</f>
        <v/>
      </c>
      <c r="AL3" s="5"/>
      <c r="AM3" s="15" t="str">
        <f>IF($K3="","",IF(AL3="ใช่",IF(U3="รถยนต์",INDEX(Fee_รถยนต์_NoBill!$B:$B,MATCH("งานด่วนเพิ่ม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" s="15" t="str">
        <f t="shared" si="5"/>
        <v/>
      </c>
      <c r="AO3" s="16" t="str">
        <f t="shared" si="6"/>
        <v/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7" t="str">
        <f t="shared" si="7"/>
        <v/>
      </c>
      <c r="BB3" s="7" t="str">
        <f t="shared" si="8"/>
        <v/>
      </c>
    </row>
    <row r="4" spans="1:54" x14ac:dyDescent="0.3">
      <c r="A4" s="15" t="str">
        <f t="shared" si="0"/>
        <v/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5" t="str">
        <f t="shared" si="1"/>
        <v/>
      </c>
      <c r="O4" s="5"/>
      <c r="P4" s="15" t="str">
        <f>IF($K4="","",IF(O4="ตัดบัญชี",IFERROR(INDEX(Fee_ตัดบัญชี!$D:$D,MATCH(BB4,Fee_ตัดบัญชี!$C:$C,0)),0),0))</f>
        <v/>
      </c>
      <c r="Q4" s="15" t="str">
        <f>IF($K4="","",IF(O4="แจ้งย้าย",IFERROR(INDEX(Fee_แจ้งย้าย!$D:$D,MATCH(BB4,Fee_แจ้งย้าย!$C:$C,0)),0),0))</f>
        <v/>
      </c>
      <c r="R4" s="15" t="str">
        <f t="shared" si="2"/>
        <v/>
      </c>
      <c r="S4" s="5"/>
      <c r="T4" s="15" t="str">
        <f>IF($K4="","",IF(O4&lt;&gt;"ตัดบัญชี",0,IF(S4="กทม.",IFERROR(INDEX(Fee_ตรวจรถ_กทม!$D:$D,MATCH(BB4,Fee_ตรวจรถ_กทม!$C:$C,0)),0),IF(S4="ต่างจังหวัด",IFERROR(INDEX(Fee_ตรวจรถ_ตจว!$D:$D,MATCH(L4&amp;"|"&amp;K4,Fee_ตรวจรถ_ตจว!$C:$C,0)),0),0))))</f>
        <v/>
      </c>
      <c r="U4" s="15" t="str">
        <f t="shared" si="3"/>
        <v/>
      </c>
      <c r="V4" s="15" t="str">
        <f>IF($K4="","",IF(U4="รถยนต์",IF(N4="ใช่",INDEX(Fee_รถยนต์_Bill!$B:$B,MATCH("ค่าคำขอ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" s="15" t="str">
        <f>IF($K4="","",IF(N4="ใช่",IF(U4="รถยนต์",INDEX(Fee_รถยนต์_Bill!$B:$B,MATCH("ค่าธรรมเนียมอื่นๆ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" s="15" t="str">
        <f>IF($K4="","",IF(U4="รถยนต์",INDEX(Fee_รถยนต์_Bill!$B:$B,MATCH("ค่าตรวจสภาพรถ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" s="15" t="str">
        <f>IF($K4="","",IF(U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" s="15" t="str">
        <f>IF($K4="","",IF(U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" s="5"/>
      <c r="AB4" s="5"/>
      <c r="AC4" s="15" t="str">
        <f>IF($K4="","",IF(AB4="เลขประมูล",INDEX(Fee_รถยนต์_Bill!$B:$B,MATCH("ค่าขอใช้เลขทะเบียน - เลขประมูล",Fee_รถยนต์_Bill!$A:$A,0)),IF(AB4="ไม่ใช่เลขประมูล",INDEX(Fee_รถยนต์_Bill!$B:$B,MATCH("ค่าขอใช้เลขทะเบียน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" s="5"/>
      <c r="AE4" s="15" t="str">
        <f>IF($K4="","",IF(AD4="ป้ายขาวดำ",INDEX(Fee_รถยนต์_Bill!$B:$B,MATCH("ค่าทำแผ่นป้ายทะเบียนใหม่ - ป้ายขาวดำ",Fee_รถยนต์_Bill!$A:$A,0)),IF(AD4="ป้ายประมูล",INDEX(Fee_รถยนต์_Bill!$B:$B,MATCH("ค่าทำแผ่นป้ายทะเบียนใหม่ - ป้ายประมูล",Fee_รถยนต์_Bill!$A:$A,0)),0)))</f>
        <v/>
      </c>
      <c r="AF4" s="5"/>
      <c r="AG4" s="15" t="str">
        <f>IF($K4="","",IF(AF4="ใช่",INDEX(Fee_รถยนต์_Bill!$B:$B,MATCH("ค่าย้ายออกต่างจังหวัด",Fee_รถยนต์_Bill!$A:$A,0)),0))</f>
        <v/>
      </c>
      <c r="AH4" s="15" t="str">
        <f t="shared" si="4"/>
        <v/>
      </c>
      <c r="AI4" s="5"/>
      <c r="AJ4" s="15" t="str">
        <f>IF($K4="","",IF(U4="รถยนต์",IF(AI4="ใช่",INDEX(Fee_รถยนต์_NoBill!$B:$B,MATCH("ค่าอากร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" s="15" t="str">
        <f>IF($K4="","",IF(U4="รถยนต์",IFERROR(INDEX(Fee_รถยนต์_NoBill!$B:$B,MATCH("ลงขัน - "&amp;K4,Fee_รถยนต์_NoBill!$A:$A,0)),0),IFERROR(INDEX(Fee_จยย_NoBill!$B:$B,MATCH("ลงขัน - รย.12 ทุกประเภท (CC)",Fee_จยย_NoBill!$A:$A,0)),0)))</f>
        <v/>
      </c>
      <c r="AL4" s="5"/>
      <c r="AM4" s="15" t="str">
        <f>IF($K4="","",IF(AL4="ใช่",IF(U4="รถยนต์",INDEX(Fee_รถยนต์_NoBill!$B:$B,MATCH("งานด่วนเพิ่ม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" s="15" t="str">
        <f t="shared" si="5"/>
        <v/>
      </c>
      <c r="AO4" s="16" t="str">
        <f t="shared" si="6"/>
        <v/>
      </c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7" t="str">
        <f t="shared" si="7"/>
        <v/>
      </c>
      <c r="BB4" s="7" t="str">
        <f t="shared" si="8"/>
        <v/>
      </c>
    </row>
    <row r="5" spans="1:54" x14ac:dyDescent="0.3">
      <c r="A5" s="15" t="str">
        <f t="shared" si="0"/>
        <v/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5" t="str">
        <f t="shared" si="1"/>
        <v/>
      </c>
      <c r="O5" s="5"/>
      <c r="P5" s="15" t="str">
        <f>IF($K5="","",IF(O5="ตัดบัญชี",IFERROR(INDEX(Fee_ตัดบัญชี!$D:$D,MATCH(BB5,Fee_ตัดบัญชี!$C:$C,0)),0),0))</f>
        <v/>
      </c>
      <c r="Q5" s="15" t="str">
        <f>IF($K5="","",IF(O5="แจ้งย้าย",IFERROR(INDEX(Fee_แจ้งย้าย!$D:$D,MATCH(BB5,Fee_แจ้งย้าย!$C:$C,0)),0),0))</f>
        <v/>
      </c>
      <c r="R5" s="15" t="str">
        <f t="shared" si="2"/>
        <v/>
      </c>
      <c r="S5" s="5"/>
      <c r="T5" s="15" t="str">
        <f>IF($K5="","",IF(O5&lt;&gt;"ตัดบัญชี",0,IF(S5="กทม.",IFERROR(INDEX(Fee_ตรวจรถ_กทม!$D:$D,MATCH(BB5,Fee_ตรวจรถ_กทม!$C:$C,0)),0),IF(S5="ต่างจังหวัด",IFERROR(INDEX(Fee_ตรวจรถ_ตจว!$D:$D,MATCH(L5&amp;"|"&amp;K5,Fee_ตรวจรถ_ตจว!$C:$C,0)),0),0))))</f>
        <v/>
      </c>
      <c r="U5" s="15" t="str">
        <f t="shared" si="3"/>
        <v/>
      </c>
      <c r="V5" s="15" t="str">
        <f>IF($K5="","",IF(U5="รถยนต์",IF(N5="ใช่",INDEX(Fee_รถยนต์_Bill!$B:$B,MATCH("ค่าคำขอ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" s="15" t="str">
        <f>IF($K5="","",IF(N5="ใช่",IF(U5="รถยนต์",INDEX(Fee_รถยนต์_Bill!$B:$B,MATCH("ค่าธรรมเนียมอื่นๆ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" s="15" t="str">
        <f>IF($K5="","",IF(U5="รถยนต์",INDEX(Fee_รถยนต์_Bill!$B:$B,MATCH("ค่าตรวจสภาพรถ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" s="15" t="str">
        <f>IF($K5="","",IF(U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" s="15" t="str">
        <f>IF($K5="","",IF(U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" s="5"/>
      <c r="AB5" s="5"/>
      <c r="AC5" s="15" t="str">
        <f>IF($K5="","",IF(AB5="เลขประมูล",INDEX(Fee_รถยนต์_Bill!$B:$B,MATCH("ค่าขอใช้เลขทะเบียน - เลขประมูล",Fee_รถยนต์_Bill!$A:$A,0)),IF(AB5="ไม่ใช่เลขประมูล",INDEX(Fee_รถยนต์_Bill!$B:$B,MATCH("ค่าขอใช้เลขทะเบียน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" s="5"/>
      <c r="AE5" s="15" t="str">
        <f>IF($K5="","",IF(AD5="ป้ายขาวดำ",INDEX(Fee_รถยนต์_Bill!$B:$B,MATCH("ค่าทำแผ่นป้ายทะเบียนใหม่ - ป้ายขาวดำ",Fee_รถยนต์_Bill!$A:$A,0)),IF(AD5="ป้ายประมูล",INDEX(Fee_รถยนต์_Bill!$B:$B,MATCH("ค่าทำแผ่นป้ายทะเบียนใหม่ - ป้ายประมูล",Fee_รถยนต์_Bill!$A:$A,0)),0)))</f>
        <v/>
      </c>
      <c r="AF5" s="5"/>
      <c r="AG5" s="15" t="str">
        <f>IF($K5="","",IF(AF5="ใช่",INDEX(Fee_รถยนต์_Bill!$B:$B,MATCH("ค่าย้ายออกต่างจังหวัด",Fee_รถยนต์_Bill!$A:$A,0)),0))</f>
        <v/>
      </c>
      <c r="AH5" s="15" t="str">
        <f t="shared" si="4"/>
        <v/>
      </c>
      <c r="AI5" s="5"/>
      <c r="AJ5" s="15" t="str">
        <f>IF($K5="","",IF(U5="รถยนต์",IF(AI5="ใช่",INDEX(Fee_รถยนต์_NoBill!$B:$B,MATCH("ค่าอากร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" s="15" t="str">
        <f>IF($K5="","",IF(U5="รถยนต์",IFERROR(INDEX(Fee_รถยนต์_NoBill!$B:$B,MATCH("ลงขัน - "&amp;K5,Fee_รถยนต์_NoBill!$A:$A,0)),0),IFERROR(INDEX(Fee_จยย_NoBill!$B:$B,MATCH("ลงขัน - รย.12 ทุกประเภท (CC)",Fee_จยย_NoBill!$A:$A,0)),0)))</f>
        <v/>
      </c>
      <c r="AL5" s="5"/>
      <c r="AM5" s="15" t="str">
        <f>IF($K5="","",IF(AL5="ใช่",IF(U5="รถยนต์",INDEX(Fee_รถยนต์_NoBill!$B:$B,MATCH("งานด่วนเพิ่ม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" s="15" t="str">
        <f t="shared" si="5"/>
        <v/>
      </c>
      <c r="AO5" s="16" t="str">
        <f t="shared" si="6"/>
        <v/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7" t="str">
        <f t="shared" si="7"/>
        <v/>
      </c>
      <c r="BB5" s="7" t="str">
        <f t="shared" si="8"/>
        <v/>
      </c>
    </row>
    <row r="6" spans="1:54" x14ac:dyDescent="0.3">
      <c r="A6" s="15" t="str">
        <f t="shared" si="0"/>
        <v/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5" t="str">
        <f t="shared" si="1"/>
        <v/>
      </c>
      <c r="O6" s="5"/>
      <c r="P6" s="15" t="str">
        <f>IF($K6="","",IF(O6="ตัดบัญชี",IFERROR(INDEX(Fee_ตัดบัญชี!$D:$D,MATCH(BB6,Fee_ตัดบัญชี!$C:$C,0)),0),0))</f>
        <v/>
      </c>
      <c r="Q6" s="15" t="str">
        <f>IF($K6="","",IF(O6="แจ้งย้าย",IFERROR(INDEX(Fee_แจ้งย้าย!$D:$D,MATCH(BB6,Fee_แจ้งย้าย!$C:$C,0)),0),0))</f>
        <v/>
      </c>
      <c r="R6" s="15" t="str">
        <f t="shared" si="2"/>
        <v/>
      </c>
      <c r="S6" s="5"/>
      <c r="T6" s="15" t="str">
        <f>IF($K6="","",IF(O6&lt;&gt;"ตัดบัญชี",0,IF(S6="กทม.",IFERROR(INDEX(Fee_ตรวจรถ_กทม!$D:$D,MATCH(BB6,Fee_ตรวจรถ_กทม!$C:$C,0)),0),IF(S6="ต่างจังหวัด",IFERROR(INDEX(Fee_ตรวจรถ_ตจว!$D:$D,MATCH(L6&amp;"|"&amp;K6,Fee_ตรวจรถ_ตจว!$C:$C,0)),0),0))))</f>
        <v/>
      </c>
      <c r="U6" s="15" t="str">
        <f t="shared" si="3"/>
        <v/>
      </c>
      <c r="V6" s="15" t="str">
        <f>IF($K6="","",IF(U6="รถยนต์",IF(N6="ใช่",INDEX(Fee_รถยนต์_Bill!$B:$B,MATCH("ค่าคำขอ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" s="15" t="str">
        <f>IF($K6="","",IF(N6="ใช่",IF(U6="รถยนต์",INDEX(Fee_รถยนต์_Bill!$B:$B,MATCH("ค่าธรรมเนียมอื่นๆ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" s="15" t="str">
        <f>IF($K6="","",IF(U6="รถยนต์",INDEX(Fee_รถยนต์_Bill!$B:$B,MATCH("ค่าตรวจสภาพรถ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" s="15" t="str">
        <f>IF($K6="","",IF(U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" s="15" t="str">
        <f>IF($K6="","",IF(U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" s="5"/>
      <c r="AB6" s="5"/>
      <c r="AC6" s="15" t="str">
        <f>IF($K6="","",IF(AB6="เลขประมูล",INDEX(Fee_รถยนต์_Bill!$B:$B,MATCH("ค่าขอใช้เลขทะเบียน - เลขประมูล",Fee_รถยนต์_Bill!$A:$A,0)),IF(AB6="ไม่ใช่เลขประมูล",INDEX(Fee_รถยนต์_Bill!$B:$B,MATCH("ค่าขอใช้เลขทะเบียน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" s="5"/>
      <c r="AE6" s="15" t="str">
        <f>IF($K6="","",IF(AD6="ป้ายขาวดำ",INDEX(Fee_รถยนต์_Bill!$B:$B,MATCH("ค่าทำแผ่นป้ายทะเบียนใหม่ - ป้ายขาวดำ",Fee_รถยนต์_Bill!$A:$A,0)),IF(AD6="ป้ายประมูล",INDEX(Fee_รถยนต์_Bill!$B:$B,MATCH("ค่าทำแผ่นป้ายทะเบียนใหม่ - ป้ายประมูล",Fee_รถยนต์_Bill!$A:$A,0)),0)))</f>
        <v/>
      </c>
      <c r="AF6" s="5"/>
      <c r="AG6" s="15" t="str">
        <f>IF($K6="","",IF(AF6="ใช่",INDEX(Fee_รถยนต์_Bill!$B:$B,MATCH("ค่าย้ายออกต่างจังหวัด",Fee_รถยนต์_Bill!$A:$A,0)),0))</f>
        <v/>
      </c>
      <c r="AH6" s="15" t="str">
        <f t="shared" si="4"/>
        <v/>
      </c>
      <c r="AI6" s="5"/>
      <c r="AJ6" s="15" t="str">
        <f>IF($K6="","",IF(U6="รถยนต์",IF(AI6="ใช่",INDEX(Fee_รถยนต์_NoBill!$B:$B,MATCH("ค่าอากร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" s="15" t="str">
        <f>IF($K6="","",IF(U6="รถยนต์",IFERROR(INDEX(Fee_รถยนต์_NoBill!$B:$B,MATCH("ลงขัน - "&amp;K6,Fee_รถยนต์_NoBill!$A:$A,0)),0),IFERROR(INDEX(Fee_จยย_NoBill!$B:$B,MATCH("ลงขัน - รย.12 ทุกประเภท (CC)",Fee_จยย_NoBill!$A:$A,0)),0)))</f>
        <v/>
      </c>
      <c r="AL6" s="5"/>
      <c r="AM6" s="15" t="str">
        <f>IF($K6="","",IF(AL6="ใช่",IF(U6="รถยนต์",INDEX(Fee_รถยนต์_NoBill!$B:$B,MATCH("งานด่วนเพิ่ม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" s="15" t="str">
        <f t="shared" si="5"/>
        <v/>
      </c>
      <c r="AO6" s="16" t="str">
        <f t="shared" si="6"/>
        <v/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7" t="str">
        <f t="shared" si="7"/>
        <v/>
      </c>
      <c r="BB6" s="7" t="str">
        <f t="shared" si="8"/>
        <v/>
      </c>
    </row>
    <row r="7" spans="1:54" x14ac:dyDescent="0.3">
      <c r="A7" s="15" t="str">
        <f t="shared" si="0"/>
        <v/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5" t="str">
        <f t="shared" si="1"/>
        <v/>
      </c>
      <c r="O7" s="5"/>
      <c r="P7" s="15" t="str">
        <f>IF($K7="","",IF(O7="ตัดบัญชี",IFERROR(INDEX(Fee_ตัดบัญชี!$D:$D,MATCH(BB7,Fee_ตัดบัญชี!$C:$C,0)),0),0))</f>
        <v/>
      </c>
      <c r="Q7" s="15" t="str">
        <f>IF($K7="","",IF(O7="แจ้งย้าย",IFERROR(INDEX(Fee_แจ้งย้าย!$D:$D,MATCH(BB7,Fee_แจ้งย้าย!$C:$C,0)),0),0))</f>
        <v/>
      </c>
      <c r="R7" s="15" t="str">
        <f t="shared" si="2"/>
        <v/>
      </c>
      <c r="S7" s="5"/>
      <c r="T7" s="15" t="str">
        <f>IF($K7="","",IF(O7&lt;&gt;"ตัดบัญชี",0,IF(S7="กทม.",IFERROR(INDEX(Fee_ตรวจรถ_กทม!$D:$D,MATCH(BB7,Fee_ตรวจรถ_กทม!$C:$C,0)),0),IF(S7="ต่างจังหวัด",IFERROR(INDEX(Fee_ตรวจรถ_ตจว!$D:$D,MATCH(L7&amp;"|"&amp;K7,Fee_ตรวจรถ_ตจว!$C:$C,0)),0),0))))</f>
        <v/>
      </c>
      <c r="U7" s="15" t="str">
        <f t="shared" si="3"/>
        <v/>
      </c>
      <c r="V7" s="15" t="str">
        <f>IF($K7="","",IF(U7="รถยนต์",IF(N7="ใช่",INDEX(Fee_รถยนต์_Bill!$B:$B,MATCH("ค่าคำขอ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" s="15" t="str">
        <f>IF($K7="","",IF(N7="ใช่",IF(U7="รถยนต์",INDEX(Fee_รถยนต์_Bill!$B:$B,MATCH("ค่าธรรมเนียมอื่นๆ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" s="15" t="str">
        <f>IF($K7="","",IF(U7="รถยนต์",INDEX(Fee_รถยนต์_Bill!$B:$B,MATCH("ค่าตรวจสภาพรถ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" s="15" t="str">
        <f>IF($K7="","",IF(U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" s="15" t="str">
        <f>IF($K7="","",IF(U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" s="5"/>
      <c r="AB7" s="5"/>
      <c r="AC7" s="15" t="str">
        <f>IF($K7="","",IF(AB7="เลขประมูล",INDEX(Fee_รถยนต์_Bill!$B:$B,MATCH("ค่าขอใช้เลขทะเบียน - เลขประมูล",Fee_รถยนต์_Bill!$A:$A,0)),IF(AB7="ไม่ใช่เลขประมูล",INDEX(Fee_รถยนต์_Bill!$B:$B,MATCH("ค่าขอใช้เลขทะเบียน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" s="5"/>
      <c r="AE7" s="15" t="str">
        <f>IF($K7="","",IF(AD7="ป้ายขาวดำ",INDEX(Fee_รถยนต์_Bill!$B:$B,MATCH("ค่าทำแผ่นป้ายทะเบียนใหม่ - ป้ายขาวดำ",Fee_รถยนต์_Bill!$A:$A,0)),IF(AD7="ป้ายประมูล",INDEX(Fee_รถยนต์_Bill!$B:$B,MATCH("ค่าทำแผ่นป้ายทะเบียนใหม่ - ป้ายประมูล",Fee_รถยนต์_Bill!$A:$A,0)),0)))</f>
        <v/>
      </c>
      <c r="AF7" s="5"/>
      <c r="AG7" s="15" t="str">
        <f>IF($K7="","",IF(AF7="ใช่",INDEX(Fee_รถยนต์_Bill!$B:$B,MATCH("ค่าย้ายออกต่างจังหวัด",Fee_รถยนต์_Bill!$A:$A,0)),0))</f>
        <v/>
      </c>
      <c r="AH7" s="15" t="str">
        <f t="shared" si="4"/>
        <v/>
      </c>
      <c r="AI7" s="5"/>
      <c r="AJ7" s="15" t="str">
        <f>IF($K7="","",IF(U7="รถยนต์",IF(AI7="ใช่",INDEX(Fee_รถยนต์_NoBill!$B:$B,MATCH("ค่าอากร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" s="15" t="str">
        <f>IF($K7="","",IF(U7="รถยนต์",IFERROR(INDEX(Fee_รถยนต์_NoBill!$B:$B,MATCH("ลงขัน - "&amp;K7,Fee_รถยนต์_NoBill!$A:$A,0)),0),IFERROR(INDEX(Fee_จยย_NoBill!$B:$B,MATCH("ลงขัน - รย.12 ทุกประเภท (CC)",Fee_จยย_NoBill!$A:$A,0)),0)))</f>
        <v/>
      </c>
      <c r="AL7" s="5"/>
      <c r="AM7" s="15" t="str">
        <f>IF($K7="","",IF(AL7="ใช่",IF(U7="รถยนต์",INDEX(Fee_รถยนต์_NoBill!$B:$B,MATCH("งานด่วนเพิ่ม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" s="15" t="str">
        <f t="shared" si="5"/>
        <v/>
      </c>
      <c r="AO7" s="16" t="str">
        <f t="shared" si="6"/>
        <v/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7" t="str">
        <f t="shared" si="7"/>
        <v/>
      </c>
      <c r="BB7" s="7" t="str">
        <f t="shared" si="8"/>
        <v/>
      </c>
    </row>
    <row r="8" spans="1:54" x14ac:dyDescent="0.3">
      <c r="A8" s="15" t="str">
        <f t="shared" si="0"/>
        <v/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5" t="str">
        <f t="shared" si="1"/>
        <v/>
      </c>
      <c r="O8" s="5"/>
      <c r="P8" s="15" t="str">
        <f>IF($K8="","",IF(O8="ตัดบัญชี",IFERROR(INDEX(Fee_ตัดบัญชี!$D:$D,MATCH(BB8,Fee_ตัดบัญชี!$C:$C,0)),0),0))</f>
        <v/>
      </c>
      <c r="Q8" s="15" t="str">
        <f>IF($K8="","",IF(O8="แจ้งย้าย",IFERROR(INDEX(Fee_แจ้งย้าย!$D:$D,MATCH(BB8,Fee_แจ้งย้าย!$C:$C,0)),0),0))</f>
        <v/>
      </c>
      <c r="R8" s="15" t="str">
        <f t="shared" si="2"/>
        <v/>
      </c>
      <c r="S8" s="5"/>
      <c r="T8" s="15" t="str">
        <f>IF($K8="","",IF(O8&lt;&gt;"ตัดบัญชี",0,IF(S8="กทม.",IFERROR(INDEX(Fee_ตรวจรถ_กทม!$D:$D,MATCH(BB8,Fee_ตรวจรถ_กทม!$C:$C,0)),0),IF(S8="ต่างจังหวัด",IFERROR(INDEX(Fee_ตรวจรถ_ตจว!$D:$D,MATCH(L8&amp;"|"&amp;K8,Fee_ตรวจรถ_ตจว!$C:$C,0)),0),0))))</f>
        <v/>
      </c>
      <c r="U8" s="15" t="str">
        <f t="shared" si="3"/>
        <v/>
      </c>
      <c r="V8" s="15" t="str">
        <f>IF($K8="","",IF(U8="รถยนต์",IF(N8="ใช่",INDEX(Fee_รถยนต์_Bill!$B:$B,MATCH("ค่าคำขอ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" s="15" t="str">
        <f>IF($K8="","",IF(N8="ใช่",IF(U8="รถยนต์",INDEX(Fee_รถยนต์_Bill!$B:$B,MATCH("ค่าธรรมเนียมอื่นๆ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" s="15" t="str">
        <f>IF($K8="","",IF(U8="รถยนต์",INDEX(Fee_รถยนต์_Bill!$B:$B,MATCH("ค่าตรวจสภาพรถ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" s="15" t="str">
        <f>IF($K8="","",IF(U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" s="15" t="str">
        <f>IF($K8="","",IF(U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" s="5"/>
      <c r="AB8" s="5"/>
      <c r="AC8" s="15" t="str">
        <f>IF($K8="","",IF(AB8="เลขประมูล",INDEX(Fee_รถยนต์_Bill!$B:$B,MATCH("ค่าขอใช้เลขทะเบียน - เลขประมูล",Fee_รถยนต์_Bill!$A:$A,0)),IF(AB8="ไม่ใช่เลขประมูล",INDEX(Fee_รถยนต์_Bill!$B:$B,MATCH("ค่าขอใช้เลขทะเบียน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" s="5"/>
      <c r="AE8" s="15" t="str">
        <f>IF($K8="","",IF(AD8="ป้ายขาวดำ",INDEX(Fee_รถยนต์_Bill!$B:$B,MATCH("ค่าทำแผ่นป้ายทะเบียนใหม่ - ป้ายขาวดำ",Fee_รถยนต์_Bill!$A:$A,0)),IF(AD8="ป้ายประมูล",INDEX(Fee_รถยนต์_Bill!$B:$B,MATCH("ค่าทำแผ่นป้ายทะเบียนใหม่ - ป้ายประมูล",Fee_รถยนต์_Bill!$A:$A,0)),0)))</f>
        <v/>
      </c>
      <c r="AF8" s="5"/>
      <c r="AG8" s="15" t="str">
        <f>IF($K8="","",IF(AF8="ใช่",INDEX(Fee_รถยนต์_Bill!$B:$B,MATCH("ค่าย้ายออกต่างจังหวัด",Fee_รถยนต์_Bill!$A:$A,0)),0))</f>
        <v/>
      </c>
      <c r="AH8" s="15" t="str">
        <f t="shared" si="4"/>
        <v/>
      </c>
      <c r="AI8" s="5"/>
      <c r="AJ8" s="15" t="str">
        <f>IF($K8="","",IF(U8="รถยนต์",IF(AI8="ใช่",INDEX(Fee_รถยนต์_NoBill!$B:$B,MATCH("ค่าอากร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" s="15" t="str">
        <f>IF($K8="","",IF(U8="รถยนต์",IFERROR(INDEX(Fee_รถยนต์_NoBill!$B:$B,MATCH("ลงขัน - "&amp;K8,Fee_รถยนต์_NoBill!$A:$A,0)),0),IFERROR(INDEX(Fee_จยย_NoBill!$B:$B,MATCH("ลงขัน - รย.12 ทุกประเภท (CC)",Fee_จยย_NoBill!$A:$A,0)),0)))</f>
        <v/>
      </c>
      <c r="AL8" s="5"/>
      <c r="AM8" s="15" t="str">
        <f>IF($K8="","",IF(AL8="ใช่",IF(U8="รถยนต์",INDEX(Fee_รถยนต์_NoBill!$B:$B,MATCH("งานด่วนเพิ่ม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" s="15" t="str">
        <f t="shared" si="5"/>
        <v/>
      </c>
      <c r="AO8" s="16" t="str">
        <f t="shared" si="6"/>
        <v/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7" t="str">
        <f t="shared" si="7"/>
        <v/>
      </c>
      <c r="BB8" s="7" t="str">
        <f t="shared" si="8"/>
        <v/>
      </c>
    </row>
    <row r="9" spans="1:54" x14ac:dyDescent="0.3">
      <c r="A9" s="15" t="str">
        <f t="shared" si="0"/>
        <v/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5" t="str">
        <f t="shared" si="1"/>
        <v/>
      </c>
      <c r="O9" s="5"/>
      <c r="P9" s="15" t="str">
        <f>IF($K9="","",IF(O9="ตัดบัญชี",IFERROR(INDEX(Fee_ตัดบัญชี!$D:$D,MATCH(BB9,Fee_ตัดบัญชี!$C:$C,0)),0),0))</f>
        <v/>
      </c>
      <c r="Q9" s="15" t="str">
        <f>IF($K9="","",IF(O9="แจ้งย้าย",IFERROR(INDEX(Fee_แจ้งย้าย!$D:$D,MATCH(BB9,Fee_แจ้งย้าย!$C:$C,0)),0),0))</f>
        <v/>
      </c>
      <c r="R9" s="15" t="str">
        <f t="shared" si="2"/>
        <v/>
      </c>
      <c r="S9" s="5"/>
      <c r="T9" s="15" t="str">
        <f>IF($K9="","",IF(O9&lt;&gt;"ตัดบัญชี",0,IF(S9="กทม.",IFERROR(INDEX(Fee_ตรวจรถ_กทม!$D:$D,MATCH(BB9,Fee_ตรวจรถ_กทม!$C:$C,0)),0),IF(S9="ต่างจังหวัด",IFERROR(INDEX(Fee_ตรวจรถ_ตจว!$D:$D,MATCH(L9&amp;"|"&amp;K9,Fee_ตรวจรถ_ตจว!$C:$C,0)),0),0))))</f>
        <v/>
      </c>
      <c r="U9" s="15" t="str">
        <f t="shared" si="3"/>
        <v/>
      </c>
      <c r="V9" s="15" t="str">
        <f>IF($K9="","",IF(U9="รถยนต์",IF(N9="ใช่",INDEX(Fee_รถยนต์_Bill!$B:$B,MATCH("ค่าคำขอ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" s="15" t="str">
        <f>IF($K9="","",IF(N9="ใช่",IF(U9="รถยนต์",INDEX(Fee_รถยนต์_Bill!$B:$B,MATCH("ค่าธรรมเนียมอื่นๆ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" s="15" t="str">
        <f>IF($K9="","",IF(U9="รถยนต์",INDEX(Fee_รถยนต์_Bill!$B:$B,MATCH("ค่าตรวจสภาพรถ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" s="15" t="str">
        <f>IF($K9="","",IF(U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" s="15" t="str">
        <f>IF($K9="","",IF(U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" s="5"/>
      <c r="AB9" s="5"/>
      <c r="AC9" s="15" t="str">
        <f>IF($K9="","",IF(AB9="เลขประมูล",INDEX(Fee_รถยนต์_Bill!$B:$B,MATCH("ค่าขอใช้เลขทะเบียน - เลขประมูล",Fee_รถยนต์_Bill!$A:$A,0)),IF(AB9="ไม่ใช่เลขประมูล",INDEX(Fee_รถยนต์_Bill!$B:$B,MATCH("ค่าขอใช้เลขทะเบียน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" s="5"/>
      <c r="AE9" s="15" t="str">
        <f>IF($K9="","",IF(AD9="ป้ายขาวดำ",INDEX(Fee_รถยนต์_Bill!$B:$B,MATCH("ค่าทำแผ่นป้ายทะเบียนใหม่ - ป้ายขาวดำ",Fee_รถยนต์_Bill!$A:$A,0)),IF(AD9="ป้ายประมูล",INDEX(Fee_รถยนต์_Bill!$B:$B,MATCH("ค่าทำแผ่นป้ายทะเบียนใหม่ - ป้ายประมูล",Fee_รถยนต์_Bill!$A:$A,0)),0)))</f>
        <v/>
      </c>
      <c r="AF9" s="5"/>
      <c r="AG9" s="15" t="str">
        <f>IF($K9="","",IF(AF9="ใช่",INDEX(Fee_รถยนต์_Bill!$B:$B,MATCH("ค่าย้ายออกต่างจังหวัด",Fee_รถยนต์_Bill!$A:$A,0)),0))</f>
        <v/>
      </c>
      <c r="AH9" s="15" t="str">
        <f t="shared" si="4"/>
        <v/>
      </c>
      <c r="AI9" s="5"/>
      <c r="AJ9" s="15" t="str">
        <f>IF($K9="","",IF(U9="รถยนต์",IF(AI9="ใช่",INDEX(Fee_รถยนต์_NoBill!$B:$B,MATCH("ค่าอากร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" s="15" t="str">
        <f>IF($K9="","",IF(U9="รถยนต์",IFERROR(INDEX(Fee_รถยนต์_NoBill!$B:$B,MATCH("ลงขัน - "&amp;K9,Fee_รถยนต์_NoBill!$A:$A,0)),0),IFERROR(INDEX(Fee_จยย_NoBill!$B:$B,MATCH("ลงขัน - รย.12 ทุกประเภท (CC)",Fee_จยย_NoBill!$A:$A,0)),0)))</f>
        <v/>
      </c>
      <c r="AL9" s="5"/>
      <c r="AM9" s="15" t="str">
        <f>IF($K9="","",IF(AL9="ใช่",IF(U9="รถยนต์",INDEX(Fee_รถยนต์_NoBill!$B:$B,MATCH("งานด่วนเพิ่ม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" s="15" t="str">
        <f t="shared" si="5"/>
        <v/>
      </c>
      <c r="AO9" s="16" t="str">
        <f t="shared" si="6"/>
        <v/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7" t="str">
        <f t="shared" si="7"/>
        <v/>
      </c>
      <c r="BB9" s="7" t="str">
        <f t="shared" si="8"/>
        <v/>
      </c>
    </row>
    <row r="10" spans="1:54" x14ac:dyDescent="0.3">
      <c r="A10" s="15" t="str">
        <f t="shared" si="0"/>
        <v/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5" t="str">
        <f t="shared" si="1"/>
        <v/>
      </c>
      <c r="O10" s="5"/>
      <c r="P10" s="15" t="str">
        <f>IF($K10="","",IF(O10="ตัดบัญชี",IFERROR(INDEX(Fee_ตัดบัญชี!$D:$D,MATCH(BB10,Fee_ตัดบัญชี!$C:$C,0)),0),0))</f>
        <v/>
      </c>
      <c r="Q10" s="15" t="str">
        <f>IF($K10="","",IF(O10="แจ้งย้าย",IFERROR(INDEX(Fee_แจ้งย้าย!$D:$D,MATCH(BB10,Fee_แจ้งย้าย!$C:$C,0)),0),0))</f>
        <v/>
      </c>
      <c r="R10" s="15" t="str">
        <f t="shared" si="2"/>
        <v/>
      </c>
      <c r="S10" s="5"/>
      <c r="T10" s="15" t="str">
        <f>IF($K10="","",IF(O10&lt;&gt;"ตัดบัญชี",0,IF(S10="กทม.",IFERROR(INDEX(Fee_ตรวจรถ_กทม!$D:$D,MATCH(BB10,Fee_ตรวจรถ_กทม!$C:$C,0)),0),IF(S10="ต่างจังหวัด",IFERROR(INDEX(Fee_ตรวจรถ_ตจว!$D:$D,MATCH(L10&amp;"|"&amp;K10,Fee_ตรวจรถ_ตจว!$C:$C,0)),0),0))))</f>
        <v/>
      </c>
      <c r="U10" s="15" t="str">
        <f t="shared" si="3"/>
        <v/>
      </c>
      <c r="V10" s="15" t="str">
        <f>IF($K10="","",IF(U10="รถยนต์",IF(N10="ใช่",INDEX(Fee_รถยนต์_Bill!$B:$B,MATCH("ค่าคำขอ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0" s="15" t="str">
        <f>IF($K10="","",IF(N10="ใช่",IF(U10="รถยนต์",INDEX(Fee_รถยนต์_Bill!$B:$B,MATCH("ค่าธรรมเนียมอื่นๆ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0" s="15" t="str">
        <f>IF($K10="","",IF(U10="รถยนต์",INDEX(Fee_รถยนต์_Bill!$B:$B,MATCH("ค่าตรวจสภาพรถ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0" s="15" t="str">
        <f>IF($K10="","",IF(U10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0" s="15" t="str">
        <f>IF($K10="","",IF(U10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0" s="5"/>
      <c r="AB10" s="5"/>
      <c r="AC10" s="15" t="str">
        <f>IF($K10="","",IF(AB10="เลขประมูล",INDEX(Fee_รถยนต์_Bill!$B:$B,MATCH("ค่าขอใช้เลขทะเบียน - เลขประมูล",Fee_รถยนต์_Bill!$A:$A,0)),IF(AB10="ไม่ใช่เลขประมูล",INDEX(Fee_รถยนต์_Bill!$B:$B,MATCH("ค่าขอใช้เลขทะเบียน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0" s="5"/>
      <c r="AE10" s="15" t="str">
        <f>IF($K10="","",IF(AD10="ป้ายขาวดำ",INDEX(Fee_รถยนต์_Bill!$B:$B,MATCH("ค่าทำแผ่นป้ายทะเบียนใหม่ - ป้ายขาวดำ",Fee_รถยนต์_Bill!$A:$A,0)),IF(AD10="ป้ายประมูล",INDEX(Fee_รถยนต์_Bill!$B:$B,MATCH("ค่าทำแผ่นป้ายทะเบียนใหม่ - ป้ายประมูล",Fee_รถยนต์_Bill!$A:$A,0)),0)))</f>
        <v/>
      </c>
      <c r="AF10" s="5"/>
      <c r="AG10" s="15" t="str">
        <f>IF($K10="","",IF(AF10="ใช่",INDEX(Fee_รถยนต์_Bill!$B:$B,MATCH("ค่าย้ายออกต่างจังหวัด",Fee_รถยนต์_Bill!$A:$A,0)),0))</f>
        <v/>
      </c>
      <c r="AH10" s="15" t="str">
        <f t="shared" si="4"/>
        <v/>
      </c>
      <c r="AI10" s="5"/>
      <c r="AJ10" s="15" t="str">
        <f>IF($K10="","",IF(U10="รถยนต์",IF(AI10="ใช่",INDEX(Fee_รถยนต์_NoBill!$B:$B,MATCH("ค่าอากร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0" s="15" t="str">
        <f>IF($K10="","",IF(U10="รถยนต์",IFERROR(INDEX(Fee_รถยนต์_NoBill!$B:$B,MATCH("ลงขัน - "&amp;K10,Fee_รถยนต์_NoBill!$A:$A,0)),0),IFERROR(INDEX(Fee_จยย_NoBill!$B:$B,MATCH("ลงขัน - รย.12 ทุกประเภท (CC)",Fee_จยย_NoBill!$A:$A,0)),0)))</f>
        <v/>
      </c>
      <c r="AL10" s="5"/>
      <c r="AM10" s="15" t="str">
        <f>IF($K10="","",IF(AL10="ใช่",IF(U10="รถยนต์",INDEX(Fee_รถยนต์_NoBill!$B:$B,MATCH("งานด่วนเพิ่ม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0" s="15" t="str">
        <f t="shared" si="5"/>
        <v/>
      </c>
      <c r="AO10" s="16" t="str">
        <f t="shared" si="6"/>
        <v/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7" t="str">
        <f t="shared" si="7"/>
        <v/>
      </c>
      <c r="BB10" s="7" t="str">
        <f t="shared" si="8"/>
        <v/>
      </c>
    </row>
    <row r="11" spans="1:54" x14ac:dyDescent="0.3">
      <c r="A11" s="15" t="str">
        <f t="shared" si="0"/>
        <v/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5" t="str">
        <f t="shared" si="1"/>
        <v/>
      </c>
      <c r="O11" s="5"/>
      <c r="P11" s="15" t="str">
        <f>IF($K11="","",IF(O11="ตัดบัญชี",IFERROR(INDEX(Fee_ตัดบัญชี!$D:$D,MATCH(BB11,Fee_ตัดบัญชี!$C:$C,0)),0),0))</f>
        <v/>
      </c>
      <c r="Q11" s="15" t="str">
        <f>IF($K11="","",IF(O11="แจ้งย้าย",IFERROR(INDEX(Fee_แจ้งย้าย!$D:$D,MATCH(BB11,Fee_แจ้งย้าย!$C:$C,0)),0),0))</f>
        <v/>
      </c>
      <c r="R11" s="15" t="str">
        <f t="shared" si="2"/>
        <v/>
      </c>
      <c r="S11" s="5"/>
      <c r="T11" s="15" t="str">
        <f>IF($K11="","",IF(O11&lt;&gt;"ตัดบัญชี",0,IF(S11="กทม.",IFERROR(INDEX(Fee_ตรวจรถ_กทม!$D:$D,MATCH(BB11,Fee_ตรวจรถ_กทม!$C:$C,0)),0),IF(S11="ต่างจังหวัด",IFERROR(INDEX(Fee_ตรวจรถ_ตจว!$D:$D,MATCH(L11&amp;"|"&amp;K11,Fee_ตรวจรถ_ตจว!$C:$C,0)),0),0))))</f>
        <v/>
      </c>
      <c r="U11" s="15" t="str">
        <f t="shared" si="3"/>
        <v/>
      </c>
      <c r="V11" s="15" t="str">
        <f>IF($K11="","",IF(U11="รถยนต์",IF(N11="ใช่",INDEX(Fee_รถยนต์_Bill!$B:$B,MATCH("ค่าคำขอ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1" s="15" t="str">
        <f>IF($K11="","",IF(N11="ใช่",IF(U11="รถยนต์",INDEX(Fee_รถยนต์_Bill!$B:$B,MATCH("ค่าธรรมเนียมอื่นๆ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1" s="15" t="str">
        <f>IF($K11="","",IF(U11="รถยนต์",INDEX(Fee_รถยนต์_Bill!$B:$B,MATCH("ค่าตรวจสภาพรถ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1" s="15" t="str">
        <f>IF($K11="","",IF(U11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1" s="15" t="str">
        <f>IF($K11="","",IF(U11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1" s="5"/>
      <c r="AB11" s="5"/>
      <c r="AC11" s="15" t="str">
        <f>IF($K11="","",IF(AB11="เลขประมูล",INDEX(Fee_รถยนต์_Bill!$B:$B,MATCH("ค่าขอใช้เลขทะเบียน - เลขประมูล",Fee_รถยนต์_Bill!$A:$A,0)),IF(AB11="ไม่ใช่เลขประมูล",INDEX(Fee_รถยนต์_Bill!$B:$B,MATCH("ค่าขอใช้เลขทะเบียน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1" s="5"/>
      <c r="AE11" s="15" t="str">
        <f>IF($K11="","",IF(AD11="ป้ายขาวดำ",INDEX(Fee_รถยนต์_Bill!$B:$B,MATCH("ค่าทำแผ่นป้ายทะเบียนใหม่ - ป้ายขาวดำ",Fee_รถยนต์_Bill!$A:$A,0)),IF(AD11="ป้ายประมูล",INDEX(Fee_รถยนต์_Bill!$B:$B,MATCH("ค่าทำแผ่นป้ายทะเบียนใหม่ - ป้ายประมูล",Fee_รถยนต์_Bill!$A:$A,0)),0)))</f>
        <v/>
      </c>
      <c r="AF11" s="5"/>
      <c r="AG11" s="15" t="str">
        <f>IF($K11="","",IF(AF11="ใช่",INDEX(Fee_รถยนต์_Bill!$B:$B,MATCH("ค่าย้ายออกต่างจังหวัด",Fee_รถยนต์_Bill!$A:$A,0)),0))</f>
        <v/>
      </c>
      <c r="AH11" s="15" t="str">
        <f t="shared" si="4"/>
        <v/>
      </c>
      <c r="AI11" s="5"/>
      <c r="AJ11" s="15" t="str">
        <f>IF($K11="","",IF(U11="รถยนต์",IF(AI11="ใช่",INDEX(Fee_รถยนต์_NoBill!$B:$B,MATCH("ค่าอากร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1" s="15" t="str">
        <f>IF($K11="","",IF(U11="รถยนต์",IFERROR(INDEX(Fee_รถยนต์_NoBill!$B:$B,MATCH("ลงขัน - "&amp;K11,Fee_รถยนต์_NoBill!$A:$A,0)),0),IFERROR(INDEX(Fee_จยย_NoBill!$B:$B,MATCH("ลงขัน - รย.12 ทุกประเภท (CC)",Fee_จยย_NoBill!$A:$A,0)),0)))</f>
        <v/>
      </c>
      <c r="AL11" s="5"/>
      <c r="AM11" s="15" t="str">
        <f>IF($K11="","",IF(AL11="ใช่",IF(U11="รถยนต์",INDEX(Fee_รถยนต์_NoBill!$B:$B,MATCH("งานด่วนเพิ่ม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1" s="15" t="str">
        <f t="shared" si="5"/>
        <v/>
      </c>
      <c r="AO11" s="16" t="str">
        <f t="shared" si="6"/>
        <v/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7" t="str">
        <f t="shared" si="7"/>
        <v/>
      </c>
      <c r="BB11" s="7" t="str">
        <f t="shared" si="8"/>
        <v/>
      </c>
    </row>
    <row r="12" spans="1:54" x14ac:dyDescent="0.3">
      <c r="A12" s="15" t="str">
        <f t="shared" si="0"/>
        <v/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5" t="str">
        <f t="shared" si="1"/>
        <v/>
      </c>
      <c r="O12" s="5"/>
      <c r="P12" s="15" t="str">
        <f>IF($K12="","",IF(O12="ตัดบัญชี",IFERROR(INDEX(Fee_ตัดบัญชี!$D:$D,MATCH(BB12,Fee_ตัดบัญชี!$C:$C,0)),0),0))</f>
        <v/>
      </c>
      <c r="Q12" s="15" t="str">
        <f>IF($K12="","",IF(O12="แจ้งย้าย",IFERROR(INDEX(Fee_แจ้งย้าย!$D:$D,MATCH(BB12,Fee_แจ้งย้าย!$C:$C,0)),0),0))</f>
        <v/>
      </c>
      <c r="R12" s="15" t="str">
        <f t="shared" si="2"/>
        <v/>
      </c>
      <c r="S12" s="5"/>
      <c r="T12" s="15" t="str">
        <f>IF($K12="","",IF(O12&lt;&gt;"ตัดบัญชี",0,IF(S12="กทม.",IFERROR(INDEX(Fee_ตรวจรถ_กทม!$D:$D,MATCH(BB12,Fee_ตรวจรถ_กทม!$C:$C,0)),0),IF(S12="ต่างจังหวัด",IFERROR(INDEX(Fee_ตรวจรถ_ตจว!$D:$D,MATCH(L12&amp;"|"&amp;K12,Fee_ตรวจรถ_ตจว!$C:$C,0)),0),0))))</f>
        <v/>
      </c>
      <c r="U12" s="15" t="str">
        <f t="shared" si="3"/>
        <v/>
      </c>
      <c r="V12" s="15" t="str">
        <f>IF($K12="","",IF(U12="รถยนต์",IF(N12="ใช่",INDEX(Fee_รถยนต์_Bill!$B:$B,MATCH("ค่าคำขอ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(ปกติ)",Fee_รถยนต์_Bill!$A:$A,0))),IF(N12="ใช่",INDEX(Fee_จยย_Bill!$B:$B,MATCH("ค่าคำขอ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2" s="15" t="str">
        <f>IF($K12="","",IF(N12="ใช่",IF(U12="รถยนต์",INDEX(Fee_รถยนต์_Bill!$B:$B,MATCH("ค่าธรรมเนียมอื่นๆ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2" s="15" t="str">
        <f>IF($K12="","",IF(U12="รถยนต์",INDEX(Fee_รถยนต์_Bill!$B:$B,MATCH("ค่าตรวจสภาพรถ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2" s="15" t="str">
        <f>IF($K12="","",IF(U12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2" s="15" t="str">
        <f>IF($K12="","",IF(U12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2" s="5"/>
      <c r="AB12" s="5"/>
      <c r="AC12" s="15" t="str">
        <f>IF($K12="","",IF(AB12="เลขประมูล",INDEX(Fee_รถยนต์_Bill!$B:$B,MATCH("ค่าขอใช้เลขทะเบียน - เลขประมูล",Fee_รถยนต์_Bill!$A:$A,0)),IF(AB12="ไม่ใช่เลขประมูล",INDEX(Fee_รถยนต์_Bill!$B:$B,MATCH("ค่าขอใช้เลขทะเบียน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2" s="5"/>
      <c r="AE12" s="15" t="str">
        <f>IF($K12="","",IF(AD12="ป้ายขาวดำ",INDEX(Fee_รถยนต์_Bill!$B:$B,MATCH("ค่าทำแผ่นป้ายทะเบียนใหม่ - ป้ายขาวดำ",Fee_รถยนต์_Bill!$A:$A,0)),IF(AD12="ป้ายประมูล",INDEX(Fee_รถยนต์_Bill!$B:$B,MATCH("ค่าทำแผ่นป้ายทะเบียนใหม่ - ป้ายประมูล",Fee_รถยนต์_Bill!$A:$A,0)),0)))</f>
        <v/>
      </c>
      <c r="AF12" s="5"/>
      <c r="AG12" s="15" t="str">
        <f>IF($K12="","",IF(AF12="ใช่",INDEX(Fee_รถยนต์_Bill!$B:$B,MATCH("ค่าย้ายออกต่างจังหวัด",Fee_รถยนต์_Bill!$A:$A,0)),0))</f>
        <v/>
      </c>
      <c r="AH12" s="15" t="str">
        <f t="shared" si="4"/>
        <v/>
      </c>
      <c r="AI12" s="5"/>
      <c r="AJ12" s="15" t="str">
        <f>IF($K12="","",IF(U12="รถยนต์",IF(AI12="ใช่",INDEX(Fee_รถยนต์_NoBill!$B:$B,MATCH("ค่าอากร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2" s="15" t="str">
        <f>IF($K12="","",IF(U12="รถยนต์",IFERROR(INDEX(Fee_รถยนต์_NoBill!$B:$B,MATCH("ลงขัน - "&amp;K12,Fee_รถยนต์_NoBill!$A:$A,0)),0),IFERROR(INDEX(Fee_จยย_NoBill!$B:$B,MATCH("ลงขัน - รย.12 ทุกประเภท (CC)",Fee_จยย_NoBill!$A:$A,0)),0)))</f>
        <v/>
      </c>
      <c r="AL12" s="5"/>
      <c r="AM12" s="15" t="str">
        <f>IF($K12="","",IF(AL12="ใช่",IF(U12="รถยนต์",INDEX(Fee_รถยนต์_NoBill!$B:$B,MATCH("งานด่วนเพิ่ม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2" s="15" t="str">
        <f t="shared" si="5"/>
        <v/>
      </c>
      <c r="AO12" s="16" t="str">
        <f t="shared" si="6"/>
        <v/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7" t="str">
        <f t="shared" si="7"/>
        <v/>
      </c>
      <c r="BB12" s="7" t="str">
        <f t="shared" si="8"/>
        <v/>
      </c>
    </row>
    <row r="13" spans="1:54" x14ac:dyDescent="0.3">
      <c r="A13" s="15" t="str">
        <f t="shared" si="0"/>
        <v/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15" t="str">
        <f t="shared" si="1"/>
        <v/>
      </c>
      <c r="O13" s="5"/>
      <c r="P13" s="15" t="str">
        <f>IF($K13="","",IF(O13="ตัดบัญชี",IFERROR(INDEX(Fee_ตัดบัญชี!$D:$D,MATCH(BB13,Fee_ตัดบัญชี!$C:$C,0)),0),0))</f>
        <v/>
      </c>
      <c r="Q13" s="15" t="str">
        <f>IF($K13="","",IF(O13="แจ้งย้าย",IFERROR(INDEX(Fee_แจ้งย้าย!$D:$D,MATCH(BB13,Fee_แจ้งย้าย!$C:$C,0)),0),0))</f>
        <v/>
      </c>
      <c r="R13" s="15" t="str">
        <f t="shared" si="2"/>
        <v/>
      </c>
      <c r="S13" s="5"/>
      <c r="T13" s="15" t="str">
        <f>IF($K13="","",IF(O13&lt;&gt;"ตัดบัญชี",0,IF(S13="กทม.",IFERROR(INDEX(Fee_ตรวจรถ_กทม!$D:$D,MATCH(BB13,Fee_ตรวจรถ_กทม!$C:$C,0)),0),IF(S13="ต่างจังหวัด",IFERROR(INDEX(Fee_ตรวจรถ_ตจว!$D:$D,MATCH(L13&amp;"|"&amp;K13,Fee_ตรวจรถ_ตจว!$C:$C,0)),0),0))))</f>
        <v/>
      </c>
      <c r="U13" s="15" t="str">
        <f t="shared" si="3"/>
        <v/>
      </c>
      <c r="V13" s="15" t="str">
        <f>IF($K13="","",IF(U13="รถยนต์",IF(N13="ใช่",INDEX(Fee_รถยนต์_Bill!$B:$B,MATCH("ค่าคำขอ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3" s="15" t="str">
        <f>IF($K13="","",IF(N13="ใช่",IF(U13="รถยนต์",INDEX(Fee_รถยนต์_Bill!$B:$B,MATCH("ค่าธรรมเนียมอื่นๆ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3" s="15" t="str">
        <f>IF($K13="","",IF(U13="รถยนต์",INDEX(Fee_รถยนต์_Bill!$B:$B,MATCH("ค่าตรวจสภาพรถ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3" s="15" t="str">
        <f>IF($K13="","",IF(U13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3" s="15" t="str">
        <f>IF($K13="","",IF(U13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3" s="5"/>
      <c r="AB13" s="5"/>
      <c r="AC13" s="15" t="str">
        <f>IF($K13="","",IF(AB13="เลขประมูล",INDEX(Fee_รถยนต์_Bill!$B:$B,MATCH("ค่าขอใช้เลขทะเบียน - เลขประมูล",Fee_รถยนต์_Bill!$A:$A,0)),IF(AB13="ไม่ใช่เลขประมูล",INDEX(Fee_รถยนต์_Bill!$B:$B,MATCH("ค่าขอใช้เลขทะเบียน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3" s="5"/>
      <c r="AE13" s="15" t="str">
        <f>IF($K13="","",IF(AD13="ป้ายขาวดำ",INDEX(Fee_รถยนต์_Bill!$B:$B,MATCH("ค่าทำแผ่นป้ายทะเบียนใหม่ - ป้ายขาวดำ",Fee_รถยนต์_Bill!$A:$A,0)),IF(AD13="ป้ายประมูล",INDEX(Fee_รถยนต์_Bill!$B:$B,MATCH("ค่าทำแผ่นป้ายทะเบียนใหม่ - ป้ายประมูล",Fee_รถยนต์_Bill!$A:$A,0)),0)))</f>
        <v/>
      </c>
      <c r="AF13" s="5"/>
      <c r="AG13" s="15" t="str">
        <f>IF($K13="","",IF(AF13="ใช่",INDEX(Fee_รถยนต์_Bill!$B:$B,MATCH("ค่าย้ายออกต่างจังหวัด",Fee_รถยนต์_Bill!$A:$A,0)),0))</f>
        <v/>
      </c>
      <c r="AH13" s="15" t="str">
        <f t="shared" si="4"/>
        <v/>
      </c>
      <c r="AI13" s="5"/>
      <c r="AJ13" s="15" t="str">
        <f>IF($K13="","",IF(U13="รถยนต์",IF(AI13="ใช่",INDEX(Fee_รถยนต์_NoBill!$B:$B,MATCH("ค่าอากร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3" s="15" t="str">
        <f>IF($K13="","",IF(U13="รถยนต์",IFERROR(INDEX(Fee_รถยนต์_NoBill!$B:$B,MATCH("ลงขัน - "&amp;K13,Fee_รถยนต์_NoBill!$A:$A,0)),0),IFERROR(INDEX(Fee_จยย_NoBill!$B:$B,MATCH("ลงขัน - รย.12 ทุกประเภท (CC)",Fee_จยย_NoBill!$A:$A,0)),0)))</f>
        <v/>
      </c>
      <c r="AL13" s="5"/>
      <c r="AM13" s="15" t="str">
        <f>IF($K13="","",IF(AL13="ใช่",IF(U13="รถยนต์",INDEX(Fee_รถยนต์_NoBill!$B:$B,MATCH("งานด่วนเพิ่ม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3" s="15" t="str">
        <f t="shared" si="5"/>
        <v/>
      </c>
      <c r="AO13" s="16" t="str">
        <f t="shared" si="6"/>
        <v/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7" t="str">
        <f t="shared" si="7"/>
        <v/>
      </c>
      <c r="BB13" s="7" t="str">
        <f t="shared" si="8"/>
        <v/>
      </c>
    </row>
    <row r="14" spans="1:54" x14ac:dyDescent="0.3">
      <c r="A14" s="15" t="str">
        <f t="shared" si="0"/>
        <v/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5" t="str">
        <f t="shared" si="1"/>
        <v/>
      </c>
      <c r="O14" s="5"/>
      <c r="P14" s="15" t="str">
        <f>IF($K14="","",IF(O14="ตัดบัญชี",IFERROR(INDEX(Fee_ตัดบัญชี!$D:$D,MATCH(BB14,Fee_ตัดบัญชี!$C:$C,0)),0),0))</f>
        <v/>
      </c>
      <c r="Q14" s="15" t="str">
        <f>IF($K14="","",IF(O14="แจ้งย้าย",IFERROR(INDEX(Fee_แจ้งย้าย!$D:$D,MATCH(BB14,Fee_แจ้งย้าย!$C:$C,0)),0),0))</f>
        <v/>
      </c>
      <c r="R14" s="15" t="str">
        <f t="shared" si="2"/>
        <v/>
      </c>
      <c r="S14" s="5"/>
      <c r="T14" s="15" t="str">
        <f>IF($K14="","",IF(O14&lt;&gt;"ตัดบัญชี",0,IF(S14="กทม.",IFERROR(INDEX(Fee_ตรวจรถ_กทม!$D:$D,MATCH(BB14,Fee_ตรวจรถ_กทม!$C:$C,0)),0),IF(S14="ต่างจังหวัด",IFERROR(INDEX(Fee_ตรวจรถ_ตจว!$D:$D,MATCH(L14&amp;"|"&amp;K14,Fee_ตรวจรถ_ตจว!$C:$C,0)),0),0))))</f>
        <v/>
      </c>
      <c r="U14" s="15" t="str">
        <f t="shared" si="3"/>
        <v/>
      </c>
      <c r="V14" s="15" t="str">
        <f>IF($K14="","",IF(U14="รถยนต์",IF(N14="ใช่",INDEX(Fee_รถยนต์_Bill!$B:$B,MATCH("ค่าคำขอ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4" s="15" t="str">
        <f>IF($K14="","",IF(N14="ใช่",IF(U14="รถยนต์",INDEX(Fee_รถยนต์_Bill!$B:$B,MATCH("ค่าธรรมเนียมอื่นๆ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4" s="15" t="str">
        <f>IF($K14="","",IF(U14="รถยนต์",INDEX(Fee_รถยนต์_Bill!$B:$B,MATCH("ค่าตรวจสภาพรถ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4" s="15" t="str">
        <f>IF($K14="","",IF(U14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4" s="15" t="str">
        <f>IF($K14="","",IF(U14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4" s="5"/>
      <c r="AB14" s="5"/>
      <c r="AC14" s="15" t="str">
        <f>IF($K14="","",IF(AB14="เลขประมูล",INDEX(Fee_รถยนต์_Bill!$B:$B,MATCH("ค่าขอใช้เลขทะเบียน - เลขประมูล",Fee_รถยนต์_Bill!$A:$A,0)),IF(AB14="ไม่ใช่เลขประมูล",INDEX(Fee_รถยนต์_Bill!$B:$B,MATCH("ค่าขอใช้เลขทะเบียน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4" s="5"/>
      <c r="AE14" s="15" t="str">
        <f>IF($K14="","",IF(AD14="ป้ายขาวดำ",INDEX(Fee_รถยนต์_Bill!$B:$B,MATCH("ค่าทำแผ่นป้ายทะเบียนใหม่ - ป้ายขาวดำ",Fee_รถยนต์_Bill!$A:$A,0)),IF(AD14="ป้ายประมูล",INDEX(Fee_รถยนต์_Bill!$B:$B,MATCH("ค่าทำแผ่นป้ายทะเบียนใหม่ - ป้ายประมูล",Fee_รถยนต์_Bill!$A:$A,0)),0)))</f>
        <v/>
      </c>
      <c r="AF14" s="5"/>
      <c r="AG14" s="15" t="str">
        <f>IF($K14="","",IF(AF14="ใช่",INDEX(Fee_รถยนต์_Bill!$B:$B,MATCH("ค่าย้ายออกต่างจังหวัด",Fee_รถยนต์_Bill!$A:$A,0)),0))</f>
        <v/>
      </c>
      <c r="AH14" s="15" t="str">
        <f t="shared" si="4"/>
        <v/>
      </c>
      <c r="AI14" s="5"/>
      <c r="AJ14" s="15" t="str">
        <f>IF($K14="","",IF(U14="รถยนต์",IF(AI14="ใช่",INDEX(Fee_รถยนต์_NoBill!$B:$B,MATCH("ค่าอากร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4" s="15" t="str">
        <f>IF($K14="","",IF(U14="รถยนต์",IFERROR(INDEX(Fee_รถยนต์_NoBill!$B:$B,MATCH("ลงขัน - "&amp;K14,Fee_รถยนต์_NoBill!$A:$A,0)),0),IFERROR(INDEX(Fee_จยย_NoBill!$B:$B,MATCH("ลงขัน - รย.12 ทุกประเภท (CC)",Fee_จยย_NoBill!$A:$A,0)),0)))</f>
        <v/>
      </c>
      <c r="AL14" s="5"/>
      <c r="AM14" s="15" t="str">
        <f>IF($K14="","",IF(AL14="ใช่",IF(U14="รถยนต์",INDEX(Fee_รถยนต์_NoBill!$B:$B,MATCH("งานด่วนเพิ่ม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4" s="15" t="str">
        <f t="shared" si="5"/>
        <v/>
      </c>
      <c r="AO14" s="16" t="str">
        <f t="shared" si="6"/>
        <v/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7" t="str">
        <f t="shared" si="7"/>
        <v/>
      </c>
      <c r="BB14" s="7" t="str">
        <f t="shared" si="8"/>
        <v/>
      </c>
    </row>
    <row r="15" spans="1:54" x14ac:dyDescent="0.3">
      <c r="A15" s="15" t="str">
        <f t="shared" si="0"/>
        <v/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5" t="str">
        <f t="shared" si="1"/>
        <v/>
      </c>
      <c r="O15" s="5"/>
      <c r="P15" s="15" t="str">
        <f>IF($K15="","",IF(O15="ตัดบัญชี",IFERROR(INDEX(Fee_ตัดบัญชี!$D:$D,MATCH(BB15,Fee_ตัดบัญชี!$C:$C,0)),0),0))</f>
        <v/>
      </c>
      <c r="Q15" s="15" t="str">
        <f>IF($K15="","",IF(O15="แจ้งย้าย",IFERROR(INDEX(Fee_แจ้งย้าย!$D:$D,MATCH(BB15,Fee_แจ้งย้าย!$C:$C,0)),0),0))</f>
        <v/>
      </c>
      <c r="R15" s="15" t="str">
        <f t="shared" si="2"/>
        <v/>
      </c>
      <c r="S15" s="5"/>
      <c r="T15" s="15" t="str">
        <f>IF($K15="","",IF(O15&lt;&gt;"ตัดบัญชี",0,IF(S15="กทม.",IFERROR(INDEX(Fee_ตรวจรถ_กทม!$D:$D,MATCH(BB15,Fee_ตรวจรถ_กทม!$C:$C,0)),0),IF(S15="ต่างจังหวัด",IFERROR(INDEX(Fee_ตรวจรถ_ตจว!$D:$D,MATCH(L15&amp;"|"&amp;K15,Fee_ตรวจรถ_ตจว!$C:$C,0)),0),0))))</f>
        <v/>
      </c>
      <c r="U15" s="15" t="str">
        <f t="shared" si="3"/>
        <v/>
      </c>
      <c r="V15" s="15" t="str">
        <f>IF($K15="","",IF(U15="รถยนต์",IF(N15="ใช่",INDEX(Fee_รถยนต์_Bill!$B:$B,MATCH("ค่าคำขอ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5" s="15" t="str">
        <f>IF($K15="","",IF(N15="ใช่",IF(U15="รถยนต์",INDEX(Fee_รถยนต์_Bill!$B:$B,MATCH("ค่าธรรมเนียมอื่นๆ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5" s="15" t="str">
        <f>IF($K15="","",IF(U15="รถยนต์",INDEX(Fee_รถยนต์_Bill!$B:$B,MATCH("ค่าตรวจสภาพรถ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5" s="15" t="str">
        <f>IF($K15="","",IF(U15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5" s="15" t="str">
        <f>IF($K15="","",IF(U15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5" s="5"/>
      <c r="AB15" s="5"/>
      <c r="AC15" s="15" t="str">
        <f>IF($K15="","",IF(AB15="เลขประมูล",INDEX(Fee_รถยนต์_Bill!$B:$B,MATCH("ค่าขอใช้เลขทะเบียน - เลขประมูล",Fee_รถยนต์_Bill!$A:$A,0)),IF(AB15="ไม่ใช่เลขประมูล",INDEX(Fee_รถยนต์_Bill!$B:$B,MATCH("ค่าขอใช้เลขทะเบียน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5" s="5"/>
      <c r="AE15" s="15" t="str">
        <f>IF($K15="","",IF(AD15="ป้ายขาวดำ",INDEX(Fee_รถยนต์_Bill!$B:$B,MATCH("ค่าทำแผ่นป้ายทะเบียนใหม่ - ป้ายขาวดำ",Fee_รถยนต์_Bill!$A:$A,0)),IF(AD15="ป้ายประมูล",INDEX(Fee_รถยนต์_Bill!$B:$B,MATCH("ค่าทำแผ่นป้ายทะเบียนใหม่ - ป้ายประมูล",Fee_รถยนต์_Bill!$A:$A,0)),0)))</f>
        <v/>
      </c>
      <c r="AF15" s="5"/>
      <c r="AG15" s="15" t="str">
        <f>IF($K15="","",IF(AF15="ใช่",INDEX(Fee_รถยนต์_Bill!$B:$B,MATCH("ค่าย้ายออกต่างจังหวัด",Fee_รถยนต์_Bill!$A:$A,0)),0))</f>
        <v/>
      </c>
      <c r="AH15" s="15" t="str">
        <f t="shared" si="4"/>
        <v/>
      </c>
      <c r="AI15" s="5"/>
      <c r="AJ15" s="15" t="str">
        <f>IF($K15="","",IF(U15="รถยนต์",IF(AI15="ใช่",INDEX(Fee_รถยนต์_NoBill!$B:$B,MATCH("ค่าอากร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5" s="15" t="str">
        <f>IF($K15="","",IF(U15="รถยนต์",IFERROR(INDEX(Fee_รถยนต์_NoBill!$B:$B,MATCH("ลงขัน - "&amp;K15,Fee_รถยนต์_NoBill!$A:$A,0)),0),IFERROR(INDEX(Fee_จยย_NoBill!$B:$B,MATCH("ลงขัน - รย.12 ทุกประเภท (CC)",Fee_จยย_NoBill!$A:$A,0)),0)))</f>
        <v/>
      </c>
      <c r="AL15" s="5"/>
      <c r="AM15" s="15" t="str">
        <f>IF($K15="","",IF(AL15="ใช่",IF(U15="รถยนต์",INDEX(Fee_รถยนต์_NoBill!$B:$B,MATCH("งานด่วนเพิ่ม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5" s="15" t="str">
        <f t="shared" si="5"/>
        <v/>
      </c>
      <c r="AO15" s="16" t="str">
        <f t="shared" si="6"/>
        <v/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7" t="str">
        <f t="shared" si="7"/>
        <v/>
      </c>
      <c r="BB15" s="7" t="str">
        <f t="shared" si="8"/>
        <v/>
      </c>
    </row>
    <row r="16" spans="1:54" x14ac:dyDescent="0.3">
      <c r="A16" s="15" t="str">
        <f t="shared" si="0"/>
        <v/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5" t="str">
        <f t="shared" si="1"/>
        <v/>
      </c>
      <c r="O16" s="5"/>
      <c r="P16" s="15" t="str">
        <f>IF($K16="","",IF(O16="ตัดบัญชี",IFERROR(INDEX(Fee_ตัดบัญชี!$D:$D,MATCH(BB16,Fee_ตัดบัญชี!$C:$C,0)),0),0))</f>
        <v/>
      </c>
      <c r="Q16" s="15" t="str">
        <f>IF($K16="","",IF(O16="แจ้งย้าย",IFERROR(INDEX(Fee_แจ้งย้าย!$D:$D,MATCH(BB16,Fee_แจ้งย้าย!$C:$C,0)),0),0))</f>
        <v/>
      </c>
      <c r="R16" s="15" t="str">
        <f t="shared" si="2"/>
        <v/>
      </c>
      <c r="S16" s="5"/>
      <c r="T16" s="15" t="str">
        <f>IF($K16="","",IF(O16&lt;&gt;"ตัดบัญชี",0,IF(S16="กทม.",IFERROR(INDEX(Fee_ตรวจรถ_กทม!$D:$D,MATCH(BB16,Fee_ตรวจรถ_กทม!$C:$C,0)),0),IF(S16="ต่างจังหวัด",IFERROR(INDEX(Fee_ตรวจรถ_ตจว!$D:$D,MATCH(L16&amp;"|"&amp;K16,Fee_ตรวจรถ_ตจว!$C:$C,0)),0),0))))</f>
        <v/>
      </c>
      <c r="U16" s="15" t="str">
        <f t="shared" si="3"/>
        <v/>
      </c>
      <c r="V16" s="15" t="str">
        <f>IF($K16="","",IF(U16="รถยนต์",IF(N16="ใช่",INDEX(Fee_รถยนต์_Bill!$B:$B,MATCH("ค่าคำขอ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6" s="15" t="str">
        <f>IF($K16="","",IF(N16="ใช่",IF(U16="รถยนต์",INDEX(Fee_รถยนต์_Bill!$B:$B,MATCH("ค่าธรรมเนียมอื่นๆ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6" s="15" t="str">
        <f>IF($K16="","",IF(U16="รถยนต์",INDEX(Fee_รถยนต์_Bill!$B:$B,MATCH("ค่าตรวจสภาพรถ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6" s="15" t="str">
        <f>IF($K16="","",IF(U16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6" s="15" t="str">
        <f>IF($K16="","",IF(U16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6" s="5"/>
      <c r="AB16" s="5"/>
      <c r="AC16" s="15" t="str">
        <f>IF($K16="","",IF(AB16="เลขประมูล",INDEX(Fee_รถยนต์_Bill!$B:$B,MATCH("ค่าขอใช้เลขทะเบียน - เลขประมูล",Fee_รถยนต์_Bill!$A:$A,0)),IF(AB16="ไม่ใช่เลขประมูล",INDEX(Fee_รถยนต์_Bill!$B:$B,MATCH("ค่าขอใช้เลขทะเบียน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6" s="5"/>
      <c r="AE16" s="15" t="str">
        <f>IF($K16="","",IF(AD16="ป้ายขาวดำ",INDEX(Fee_รถยนต์_Bill!$B:$B,MATCH("ค่าทำแผ่นป้ายทะเบียนใหม่ - ป้ายขาวดำ",Fee_รถยนต์_Bill!$A:$A,0)),IF(AD16="ป้ายประมูล",INDEX(Fee_รถยนต์_Bill!$B:$B,MATCH("ค่าทำแผ่นป้ายทะเบียนใหม่ - ป้ายประมูล",Fee_รถยนต์_Bill!$A:$A,0)),0)))</f>
        <v/>
      </c>
      <c r="AF16" s="5"/>
      <c r="AG16" s="15" t="str">
        <f>IF($K16="","",IF(AF16="ใช่",INDEX(Fee_รถยนต์_Bill!$B:$B,MATCH("ค่าย้ายออกต่างจังหวัด",Fee_รถยนต์_Bill!$A:$A,0)),0))</f>
        <v/>
      </c>
      <c r="AH16" s="15" t="str">
        <f t="shared" si="4"/>
        <v/>
      </c>
      <c r="AI16" s="5"/>
      <c r="AJ16" s="15" t="str">
        <f>IF($K16="","",IF(U16="รถยนต์",IF(AI16="ใช่",INDEX(Fee_รถยนต์_NoBill!$B:$B,MATCH("ค่าอากร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6" s="15" t="str">
        <f>IF($K16="","",IF(U16="รถยนต์",IFERROR(INDEX(Fee_รถยนต์_NoBill!$B:$B,MATCH("ลงขัน - "&amp;K16,Fee_รถยนต์_NoBill!$A:$A,0)),0),IFERROR(INDEX(Fee_จยย_NoBill!$B:$B,MATCH("ลงขัน - รย.12 ทุกประเภท (CC)",Fee_จยย_NoBill!$A:$A,0)),0)))</f>
        <v/>
      </c>
      <c r="AL16" s="5"/>
      <c r="AM16" s="15" t="str">
        <f>IF($K16="","",IF(AL16="ใช่",IF(U16="รถยนต์",INDEX(Fee_รถยนต์_NoBill!$B:$B,MATCH("งานด่วนเพิ่ม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6" s="15" t="str">
        <f t="shared" si="5"/>
        <v/>
      </c>
      <c r="AO16" s="16" t="str">
        <f t="shared" si="6"/>
        <v/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7" t="str">
        <f t="shared" si="7"/>
        <v/>
      </c>
      <c r="BB16" s="7" t="str">
        <f t="shared" si="8"/>
        <v/>
      </c>
    </row>
    <row r="17" spans="1:54" x14ac:dyDescent="0.3">
      <c r="A17" s="15" t="str">
        <f t="shared" si="0"/>
        <v/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5" t="str">
        <f t="shared" si="1"/>
        <v/>
      </c>
      <c r="O17" s="5"/>
      <c r="P17" s="15" t="str">
        <f>IF($K17="","",IF(O17="ตัดบัญชี",IFERROR(INDEX(Fee_ตัดบัญชี!$D:$D,MATCH(BB17,Fee_ตัดบัญชี!$C:$C,0)),0),0))</f>
        <v/>
      </c>
      <c r="Q17" s="15" t="str">
        <f>IF($K17="","",IF(O17="แจ้งย้าย",IFERROR(INDEX(Fee_แจ้งย้าย!$D:$D,MATCH(BB17,Fee_แจ้งย้าย!$C:$C,0)),0),0))</f>
        <v/>
      </c>
      <c r="R17" s="15" t="str">
        <f t="shared" si="2"/>
        <v/>
      </c>
      <c r="S17" s="5"/>
      <c r="T17" s="15" t="str">
        <f>IF($K17="","",IF(O17&lt;&gt;"ตัดบัญชี",0,IF(S17="กทม.",IFERROR(INDEX(Fee_ตรวจรถ_กทม!$D:$D,MATCH(BB17,Fee_ตรวจรถ_กทม!$C:$C,0)),0),IF(S17="ต่างจังหวัด",IFERROR(INDEX(Fee_ตรวจรถ_ตจว!$D:$D,MATCH(L17&amp;"|"&amp;K17,Fee_ตรวจรถ_ตจว!$C:$C,0)),0),0))))</f>
        <v/>
      </c>
      <c r="U17" s="15" t="str">
        <f t="shared" si="3"/>
        <v/>
      </c>
      <c r="V17" s="15" t="str">
        <f>IF($K17="","",IF(U17="รถยนต์",IF(N17="ใช่",INDEX(Fee_รถยนต์_Bill!$B:$B,MATCH("ค่าคำขอ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7" s="15" t="str">
        <f>IF($K17="","",IF(N17="ใช่",IF(U17="รถยนต์",INDEX(Fee_รถยนต์_Bill!$B:$B,MATCH("ค่าธรรมเนียมอื่นๆ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7" s="15" t="str">
        <f>IF($K17="","",IF(U17="รถยนต์",INDEX(Fee_รถยนต์_Bill!$B:$B,MATCH("ค่าตรวจสภาพรถ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7" s="15" t="str">
        <f>IF($K17="","",IF(U17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7" s="15" t="str">
        <f>IF($K17="","",IF(U17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7" s="5"/>
      <c r="AB17" s="5"/>
      <c r="AC17" s="15" t="str">
        <f>IF($K17="","",IF(AB17="เลขประมูล",INDEX(Fee_รถยนต์_Bill!$B:$B,MATCH("ค่าขอใช้เลขทะเบียน - เลขประมูล",Fee_รถยนต์_Bill!$A:$A,0)),IF(AB17="ไม่ใช่เลขประมูล",INDEX(Fee_รถยนต์_Bill!$B:$B,MATCH("ค่าขอใช้เลขทะเบียน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7" s="5"/>
      <c r="AE17" s="15" t="str">
        <f>IF($K17="","",IF(AD17="ป้ายขาวดำ",INDEX(Fee_รถยนต์_Bill!$B:$B,MATCH("ค่าทำแผ่นป้ายทะเบียนใหม่ - ป้ายขาวดำ",Fee_รถยนต์_Bill!$A:$A,0)),IF(AD17="ป้ายประมูล",INDEX(Fee_รถยนต์_Bill!$B:$B,MATCH("ค่าทำแผ่นป้ายทะเบียนใหม่ - ป้ายประมูล",Fee_รถยนต์_Bill!$A:$A,0)),0)))</f>
        <v/>
      </c>
      <c r="AF17" s="5"/>
      <c r="AG17" s="15" t="str">
        <f>IF($K17="","",IF(AF17="ใช่",INDEX(Fee_รถยนต์_Bill!$B:$B,MATCH("ค่าย้ายออกต่างจังหวัด",Fee_รถยนต์_Bill!$A:$A,0)),0))</f>
        <v/>
      </c>
      <c r="AH17" s="15" t="str">
        <f t="shared" si="4"/>
        <v/>
      </c>
      <c r="AI17" s="5"/>
      <c r="AJ17" s="15" t="str">
        <f>IF($K17="","",IF(U17="รถยนต์",IF(AI17="ใช่",INDEX(Fee_รถยนต์_NoBill!$B:$B,MATCH("ค่าอากร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7" s="15" t="str">
        <f>IF($K17="","",IF(U17="รถยนต์",IFERROR(INDEX(Fee_รถยนต์_NoBill!$B:$B,MATCH("ลงขัน - "&amp;K17,Fee_รถยนต์_NoBill!$A:$A,0)),0),IFERROR(INDEX(Fee_จยย_NoBill!$B:$B,MATCH("ลงขัน - รย.12 ทุกประเภท (CC)",Fee_จยย_NoBill!$A:$A,0)),0)))</f>
        <v/>
      </c>
      <c r="AL17" s="5"/>
      <c r="AM17" s="15" t="str">
        <f>IF($K17="","",IF(AL17="ใช่",IF(U17="รถยนต์",INDEX(Fee_รถยนต์_NoBill!$B:$B,MATCH("งานด่วนเพิ่ม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7" s="15" t="str">
        <f t="shared" si="5"/>
        <v/>
      </c>
      <c r="AO17" s="16" t="str">
        <f t="shared" si="6"/>
        <v/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7" t="str">
        <f t="shared" si="7"/>
        <v/>
      </c>
      <c r="BB17" s="7" t="str">
        <f t="shared" si="8"/>
        <v/>
      </c>
    </row>
    <row r="18" spans="1:54" x14ac:dyDescent="0.3">
      <c r="A18" s="15" t="str">
        <f t="shared" si="0"/>
        <v/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5" t="str">
        <f t="shared" si="1"/>
        <v/>
      </c>
      <c r="O18" s="5"/>
      <c r="P18" s="15" t="str">
        <f>IF($K18="","",IF(O18="ตัดบัญชี",IFERROR(INDEX(Fee_ตัดบัญชี!$D:$D,MATCH(BB18,Fee_ตัดบัญชี!$C:$C,0)),0),0))</f>
        <v/>
      </c>
      <c r="Q18" s="15" t="str">
        <f>IF($K18="","",IF(O18="แจ้งย้าย",IFERROR(INDEX(Fee_แจ้งย้าย!$D:$D,MATCH(BB18,Fee_แจ้งย้าย!$C:$C,0)),0),0))</f>
        <v/>
      </c>
      <c r="R18" s="15" t="str">
        <f t="shared" si="2"/>
        <v/>
      </c>
      <c r="S18" s="5"/>
      <c r="T18" s="15" t="str">
        <f>IF($K18="","",IF(O18&lt;&gt;"ตัดบัญชี",0,IF(S18="กทม.",IFERROR(INDEX(Fee_ตรวจรถ_กทม!$D:$D,MATCH(BB18,Fee_ตรวจรถ_กทม!$C:$C,0)),0),IF(S18="ต่างจังหวัด",IFERROR(INDEX(Fee_ตรวจรถ_ตจว!$D:$D,MATCH(L18&amp;"|"&amp;K18,Fee_ตรวจรถ_ตจว!$C:$C,0)),0),0))))</f>
        <v/>
      </c>
      <c r="U18" s="15" t="str">
        <f t="shared" si="3"/>
        <v/>
      </c>
      <c r="V18" s="15" t="str">
        <f>IF($K18="","",IF(U18="รถยนต์",IF(N18="ใช่",INDEX(Fee_รถยนต์_Bill!$B:$B,MATCH("ค่าคำขอ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8" s="15" t="str">
        <f>IF($K18="","",IF(N18="ใช่",IF(U18="รถยนต์",INDEX(Fee_รถยนต์_Bill!$B:$B,MATCH("ค่าธรรมเนียมอื่นๆ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8" s="15" t="str">
        <f>IF($K18="","",IF(U18="รถยนต์",INDEX(Fee_รถยนต์_Bill!$B:$B,MATCH("ค่าตรวจสภาพรถ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8" s="15" t="str">
        <f>IF($K18="","",IF(U18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8" s="15" t="str">
        <f>IF($K18="","",IF(U18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8" s="5"/>
      <c r="AB18" s="5"/>
      <c r="AC18" s="15" t="str">
        <f>IF($K18="","",IF(AB18="เลขประมูล",INDEX(Fee_รถยนต์_Bill!$B:$B,MATCH("ค่าขอใช้เลขทะเบียน - เลขประมูล",Fee_รถยนต์_Bill!$A:$A,0)),IF(AB18="ไม่ใช่เลขประมูล",INDEX(Fee_รถยนต์_Bill!$B:$B,MATCH("ค่าขอใช้เลขทะเบียน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8" s="5"/>
      <c r="AE18" s="15" t="str">
        <f>IF($K18="","",IF(AD18="ป้ายขาวดำ",INDEX(Fee_รถยนต์_Bill!$B:$B,MATCH("ค่าทำแผ่นป้ายทะเบียนใหม่ - ป้ายขาวดำ",Fee_รถยนต์_Bill!$A:$A,0)),IF(AD18="ป้ายประมูล",INDEX(Fee_รถยนต์_Bill!$B:$B,MATCH("ค่าทำแผ่นป้ายทะเบียนใหม่ - ป้ายประมูล",Fee_รถยนต์_Bill!$A:$A,0)),0)))</f>
        <v/>
      </c>
      <c r="AF18" s="5"/>
      <c r="AG18" s="15" t="str">
        <f>IF($K18="","",IF(AF18="ใช่",INDEX(Fee_รถยนต์_Bill!$B:$B,MATCH("ค่าย้ายออกต่างจังหวัด",Fee_รถยนต์_Bill!$A:$A,0)),0))</f>
        <v/>
      </c>
      <c r="AH18" s="15" t="str">
        <f t="shared" si="4"/>
        <v/>
      </c>
      <c r="AI18" s="5"/>
      <c r="AJ18" s="15" t="str">
        <f>IF($K18="","",IF(U18="รถยนต์",IF(AI18="ใช่",INDEX(Fee_รถยนต์_NoBill!$B:$B,MATCH("ค่าอากร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8" s="15" t="str">
        <f>IF($K18="","",IF(U18="รถยนต์",IFERROR(INDEX(Fee_รถยนต์_NoBill!$B:$B,MATCH("ลงขัน - "&amp;K18,Fee_รถยนต์_NoBill!$A:$A,0)),0),IFERROR(INDEX(Fee_จยย_NoBill!$B:$B,MATCH("ลงขัน - รย.12 ทุกประเภท (CC)",Fee_จยย_NoBill!$A:$A,0)),0)))</f>
        <v/>
      </c>
      <c r="AL18" s="5"/>
      <c r="AM18" s="15" t="str">
        <f>IF($K18="","",IF(AL18="ใช่",IF(U18="รถยนต์",INDEX(Fee_รถยนต์_NoBill!$B:$B,MATCH("งานด่วนเพิ่ม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8" s="15" t="str">
        <f t="shared" si="5"/>
        <v/>
      </c>
      <c r="AO18" s="16" t="str">
        <f t="shared" si="6"/>
        <v/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7" t="str">
        <f t="shared" si="7"/>
        <v/>
      </c>
      <c r="BB18" s="7" t="str">
        <f t="shared" si="8"/>
        <v/>
      </c>
    </row>
    <row r="19" spans="1:54" x14ac:dyDescent="0.3">
      <c r="A19" s="15" t="str">
        <f t="shared" si="0"/>
        <v/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5" t="str">
        <f t="shared" si="1"/>
        <v/>
      </c>
      <c r="O19" s="5"/>
      <c r="P19" s="15" t="str">
        <f>IF($K19="","",IF(O19="ตัดบัญชี",IFERROR(INDEX(Fee_ตัดบัญชี!$D:$D,MATCH(BB19,Fee_ตัดบัญชี!$C:$C,0)),0),0))</f>
        <v/>
      </c>
      <c r="Q19" s="15" t="str">
        <f>IF($K19="","",IF(O19="แจ้งย้าย",IFERROR(INDEX(Fee_แจ้งย้าย!$D:$D,MATCH(BB19,Fee_แจ้งย้าย!$C:$C,0)),0),0))</f>
        <v/>
      </c>
      <c r="R19" s="15" t="str">
        <f t="shared" si="2"/>
        <v/>
      </c>
      <c r="S19" s="5"/>
      <c r="T19" s="15" t="str">
        <f>IF($K19="","",IF(O19&lt;&gt;"ตัดบัญชี",0,IF(S19="กทม.",IFERROR(INDEX(Fee_ตรวจรถ_กทม!$D:$D,MATCH(BB19,Fee_ตรวจรถ_กทม!$C:$C,0)),0),IF(S19="ต่างจังหวัด",IFERROR(INDEX(Fee_ตรวจรถ_ตจว!$D:$D,MATCH(L19&amp;"|"&amp;K19,Fee_ตรวจรถ_ตจว!$C:$C,0)),0),0))))</f>
        <v/>
      </c>
      <c r="U19" s="15" t="str">
        <f t="shared" si="3"/>
        <v/>
      </c>
      <c r="V19" s="15" t="str">
        <f>IF($K19="","",IF(U19="รถยนต์",IF(N19="ใช่",INDEX(Fee_รถยนต์_Bill!$B:$B,MATCH("ค่าคำขอ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9" s="15" t="str">
        <f>IF($K19="","",IF(N19="ใช่",IF(U19="รถยนต์",INDEX(Fee_รถยนต์_Bill!$B:$B,MATCH("ค่าธรรมเนียมอื่นๆ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9" s="15" t="str">
        <f>IF($K19="","",IF(U19="รถยนต์",INDEX(Fee_รถยนต์_Bill!$B:$B,MATCH("ค่าตรวจสภาพรถ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9" s="15" t="str">
        <f>IF($K19="","",IF(U19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9" s="15" t="str">
        <f>IF($K19="","",IF(U19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9" s="5"/>
      <c r="AB19" s="5"/>
      <c r="AC19" s="15" t="str">
        <f>IF($K19="","",IF(AB19="เลขประมูล",INDEX(Fee_รถยนต์_Bill!$B:$B,MATCH("ค่าขอใช้เลขทะเบียน - เลขประมูล",Fee_รถยนต์_Bill!$A:$A,0)),IF(AB19="ไม่ใช่เลขประมูล",INDEX(Fee_รถยนต์_Bill!$B:$B,MATCH("ค่าขอใช้เลขทะเบียน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9" s="5"/>
      <c r="AE19" s="15" t="str">
        <f>IF($K19="","",IF(AD19="ป้ายขาวดำ",INDEX(Fee_รถยนต์_Bill!$B:$B,MATCH("ค่าทำแผ่นป้ายทะเบียนใหม่ - ป้ายขาวดำ",Fee_รถยนต์_Bill!$A:$A,0)),IF(AD19="ป้ายประมูล",INDEX(Fee_รถยนต์_Bill!$B:$B,MATCH("ค่าทำแผ่นป้ายทะเบียนใหม่ - ป้ายประมูล",Fee_รถยนต์_Bill!$A:$A,0)),0)))</f>
        <v/>
      </c>
      <c r="AF19" s="5"/>
      <c r="AG19" s="15" t="str">
        <f>IF($K19="","",IF(AF19="ใช่",INDEX(Fee_รถยนต์_Bill!$B:$B,MATCH("ค่าย้ายออกต่างจังหวัด",Fee_รถยนต์_Bill!$A:$A,0)),0))</f>
        <v/>
      </c>
      <c r="AH19" s="15" t="str">
        <f t="shared" si="4"/>
        <v/>
      </c>
      <c r="AI19" s="5"/>
      <c r="AJ19" s="15" t="str">
        <f>IF($K19="","",IF(U19="รถยนต์",IF(AI19="ใช่",INDEX(Fee_รถยนต์_NoBill!$B:$B,MATCH("ค่าอากร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9" s="15" t="str">
        <f>IF($K19="","",IF(U19="รถยนต์",IFERROR(INDEX(Fee_รถยนต์_NoBill!$B:$B,MATCH("ลงขัน - "&amp;K19,Fee_รถยนต์_NoBill!$A:$A,0)),0),IFERROR(INDEX(Fee_จยย_NoBill!$B:$B,MATCH("ลงขัน - รย.12 ทุกประเภท (CC)",Fee_จยย_NoBill!$A:$A,0)),0)))</f>
        <v/>
      </c>
      <c r="AL19" s="5"/>
      <c r="AM19" s="15" t="str">
        <f>IF($K19="","",IF(AL19="ใช่",IF(U19="รถยนต์",INDEX(Fee_รถยนต์_NoBill!$B:$B,MATCH("งานด่วนเพิ่ม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9" s="15" t="str">
        <f t="shared" si="5"/>
        <v/>
      </c>
      <c r="AO19" s="16" t="str">
        <f t="shared" si="6"/>
        <v/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7" t="str">
        <f t="shared" si="7"/>
        <v/>
      </c>
      <c r="BB19" s="7" t="str">
        <f t="shared" si="8"/>
        <v/>
      </c>
    </row>
    <row r="20" spans="1:54" x14ac:dyDescent="0.3">
      <c r="A20" s="15" t="str">
        <f t="shared" si="0"/>
        <v/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5" t="str">
        <f t="shared" si="1"/>
        <v/>
      </c>
      <c r="O20" s="5"/>
      <c r="P20" s="15" t="str">
        <f>IF($K20="","",IF(O20="ตัดบัญชี",IFERROR(INDEX(Fee_ตัดบัญชี!$D:$D,MATCH(BB20,Fee_ตัดบัญชี!$C:$C,0)),0),0))</f>
        <v/>
      </c>
      <c r="Q20" s="15" t="str">
        <f>IF($K20="","",IF(O20="แจ้งย้าย",IFERROR(INDEX(Fee_แจ้งย้าย!$D:$D,MATCH(BB20,Fee_แจ้งย้าย!$C:$C,0)),0),0))</f>
        <v/>
      </c>
      <c r="R20" s="15" t="str">
        <f t="shared" si="2"/>
        <v/>
      </c>
      <c r="S20" s="5"/>
      <c r="T20" s="15" t="str">
        <f>IF($K20="","",IF(O20&lt;&gt;"ตัดบัญชี",0,IF(S20="กทม.",IFERROR(INDEX(Fee_ตรวจรถ_กทม!$D:$D,MATCH(BB20,Fee_ตรวจรถ_กทม!$C:$C,0)),0),IF(S20="ต่างจังหวัด",IFERROR(INDEX(Fee_ตรวจรถ_ตจว!$D:$D,MATCH(L20&amp;"|"&amp;K20,Fee_ตรวจรถ_ตจว!$C:$C,0)),0),0))))</f>
        <v/>
      </c>
      <c r="U20" s="15" t="str">
        <f t="shared" si="3"/>
        <v/>
      </c>
      <c r="V20" s="15" t="str">
        <f>IF($K20="","",IF(U20="รถยนต์",IF(N20="ใช่",INDEX(Fee_รถยนต์_Bill!$B:$B,MATCH("ค่าคำขอ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0" s="15" t="str">
        <f>IF($K20="","",IF(N20="ใช่",IF(U20="รถยนต์",INDEX(Fee_รถยนต์_Bill!$B:$B,MATCH("ค่าธรรมเนียมอื่นๆ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0" s="15" t="str">
        <f>IF($K20="","",IF(U20="รถยนต์",INDEX(Fee_รถยนต์_Bill!$B:$B,MATCH("ค่าตรวจสภาพรถ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0" s="15" t="str">
        <f>IF($K20="","",IF(U20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0" s="15" t="str">
        <f>IF($K20="","",IF(U20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0" s="5"/>
      <c r="AB20" s="5"/>
      <c r="AC20" s="15" t="str">
        <f>IF($K20="","",IF(AB20="เลขประมูล",INDEX(Fee_รถยนต์_Bill!$B:$B,MATCH("ค่าขอใช้เลขทะเบียน - เลขประมูล",Fee_รถยนต์_Bill!$A:$A,0)),IF(AB20="ไม่ใช่เลขประมูล",INDEX(Fee_รถยนต์_Bill!$B:$B,MATCH("ค่าขอใช้เลขทะเบียน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0" s="5"/>
      <c r="AE20" s="15" t="str">
        <f>IF($K20="","",IF(AD20="ป้ายขาวดำ",INDEX(Fee_รถยนต์_Bill!$B:$B,MATCH("ค่าทำแผ่นป้ายทะเบียนใหม่ - ป้ายขาวดำ",Fee_รถยนต์_Bill!$A:$A,0)),IF(AD20="ป้ายประมูล",INDEX(Fee_รถยนต์_Bill!$B:$B,MATCH("ค่าทำแผ่นป้ายทะเบียนใหม่ - ป้ายประมูล",Fee_รถยนต์_Bill!$A:$A,0)),0)))</f>
        <v/>
      </c>
      <c r="AF20" s="5"/>
      <c r="AG20" s="15" t="str">
        <f>IF($K20="","",IF(AF20="ใช่",INDEX(Fee_รถยนต์_Bill!$B:$B,MATCH("ค่าย้ายออกต่างจังหวัด",Fee_รถยนต์_Bill!$A:$A,0)),0))</f>
        <v/>
      </c>
      <c r="AH20" s="15" t="str">
        <f t="shared" si="4"/>
        <v/>
      </c>
      <c r="AI20" s="5"/>
      <c r="AJ20" s="15" t="str">
        <f>IF($K20="","",IF(U20="รถยนต์",IF(AI20="ใช่",INDEX(Fee_รถยนต์_NoBill!$B:$B,MATCH("ค่าอากร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0" s="15" t="str">
        <f>IF($K20="","",IF(U20="รถยนต์",IFERROR(INDEX(Fee_รถยนต์_NoBill!$B:$B,MATCH("ลงขัน - "&amp;K20,Fee_รถยนต์_NoBill!$A:$A,0)),0),IFERROR(INDEX(Fee_จยย_NoBill!$B:$B,MATCH("ลงขัน - รย.12 ทุกประเภท (CC)",Fee_จยย_NoBill!$A:$A,0)),0)))</f>
        <v/>
      </c>
      <c r="AL20" s="5"/>
      <c r="AM20" s="15" t="str">
        <f>IF($K20="","",IF(AL20="ใช่",IF(U20="รถยนต์",INDEX(Fee_รถยนต์_NoBill!$B:$B,MATCH("งานด่วนเพิ่ม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0" s="15" t="str">
        <f t="shared" si="5"/>
        <v/>
      </c>
      <c r="AO20" s="16" t="str">
        <f t="shared" si="6"/>
        <v/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7" t="str">
        <f t="shared" si="7"/>
        <v/>
      </c>
      <c r="BB20" s="7" t="str">
        <f t="shared" si="8"/>
        <v/>
      </c>
    </row>
    <row r="21" spans="1:54" x14ac:dyDescent="0.3">
      <c r="A21" s="15" t="str">
        <f t="shared" si="0"/>
        <v/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15" t="str">
        <f t="shared" si="1"/>
        <v/>
      </c>
      <c r="O21" s="5"/>
      <c r="P21" s="15" t="str">
        <f>IF($K21="","",IF(O21="ตัดบัญชี",IFERROR(INDEX(Fee_ตัดบัญชี!$D:$D,MATCH(BB21,Fee_ตัดบัญชี!$C:$C,0)),0),0))</f>
        <v/>
      </c>
      <c r="Q21" s="15" t="str">
        <f>IF($K21="","",IF(O21="แจ้งย้าย",IFERROR(INDEX(Fee_แจ้งย้าย!$D:$D,MATCH(BB21,Fee_แจ้งย้าย!$C:$C,0)),0),0))</f>
        <v/>
      </c>
      <c r="R21" s="15" t="str">
        <f t="shared" si="2"/>
        <v/>
      </c>
      <c r="S21" s="5"/>
      <c r="T21" s="15" t="str">
        <f>IF($K21="","",IF(O21&lt;&gt;"ตัดบัญชี",0,IF(S21="กทม.",IFERROR(INDEX(Fee_ตรวจรถ_กทม!$D:$D,MATCH(BB21,Fee_ตรวจรถ_กทม!$C:$C,0)),0),IF(S21="ต่างจังหวัด",IFERROR(INDEX(Fee_ตรวจรถ_ตจว!$D:$D,MATCH(L21&amp;"|"&amp;K21,Fee_ตรวจรถ_ตจว!$C:$C,0)),0),0))))</f>
        <v/>
      </c>
      <c r="U21" s="15" t="str">
        <f t="shared" si="3"/>
        <v/>
      </c>
      <c r="V21" s="15" t="str">
        <f>IF($K21="","",IF(U21="รถยนต์",IF(N21="ใช่",INDEX(Fee_รถยนต์_Bill!$B:$B,MATCH("ค่าคำขอ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1" s="15" t="str">
        <f>IF($K21="","",IF(N21="ใช่",IF(U21="รถยนต์",INDEX(Fee_รถยนต์_Bill!$B:$B,MATCH("ค่าธรรมเนียมอื่นๆ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1" s="15" t="str">
        <f>IF($K21="","",IF(U21="รถยนต์",INDEX(Fee_รถยนต์_Bill!$B:$B,MATCH("ค่าตรวจสภาพรถ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1" s="15" t="str">
        <f>IF($K21="","",IF(U21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1" s="15" t="str">
        <f>IF($K21="","",IF(U21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1" s="5"/>
      <c r="AB21" s="5"/>
      <c r="AC21" s="15" t="str">
        <f>IF($K21="","",IF(AB21="เลขประมูล",INDEX(Fee_รถยนต์_Bill!$B:$B,MATCH("ค่าขอใช้เลขทะเบียน - เลขประมูล",Fee_รถยนต์_Bill!$A:$A,0)),IF(AB21="ไม่ใช่เลขประมูล",INDEX(Fee_รถยนต์_Bill!$B:$B,MATCH("ค่าขอใช้เลขทะเบียน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1" s="5"/>
      <c r="AE21" s="15" t="str">
        <f>IF($K21="","",IF(AD21="ป้ายขาวดำ",INDEX(Fee_รถยนต์_Bill!$B:$B,MATCH("ค่าทำแผ่นป้ายทะเบียนใหม่ - ป้ายขาวดำ",Fee_รถยนต์_Bill!$A:$A,0)),IF(AD21="ป้ายประมูล",INDEX(Fee_รถยนต์_Bill!$B:$B,MATCH("ค่าทำแผ่นป้ายทะเบียนใหม่ - ป้ายประมูล",Fee_รถยนต์_Bill!$A:$A,0)),0)))</f>
        <v/>
      </c>
      <c r="AF21" s="5"/>
      <c r="AG21" s="15" t="str">
        <f>IF($K21="","",IF(AF21="ใช่",INDEX(Fee_รถยนต์_Bill!$B:$B,MATCH("ค่าย้ายออกต่างจังหวัด",Fee_รถยนต์_Bill!$A:$A,0)),0))</f>
        <v/>
      </c>
      <c r="AH21" s="15" t="str">
        <f t="shared" si="4"/>
        <v/>
      </c>
      <c r="AI21" s="5"/>
      <c r="AJ21" s="15" t="str">
        <f>IF($K21="","",IF(U21="รถยนต์",IF(AI21="ใช่",INDEX(Fee_รถยนต์_NoBill!$B:$B,MATCH("ค่าอากร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1" s="15" t="str">
        <f>IF($K21="","",IF(U21="รถยนต์",IFERROR(INDEX(Fee_รถยนต์_NoBill!$B:$B,MATCH("ลงขัน - "&amp;K21,Fee_รถยนต์_NoBill!$A:$A,0)),0),IFERROR(INDEX(Fee_จยย_NoBill!$B:$B,MATCH("ลงขัน - รย.12 ทุกประเภท (CC)",Fee_จยย_NoBill!$A:$A,0)),0)))</f>
        <v/>
      </c>
      <c r="AL21" s="5"/>
      <c r="AM21" s="15" t="str">
        <f>IF($K21="","",IF(AL21="ใช่",IF(U21="รถยนต์",INDEX(Fee_รถยนต์_NoBill!$B:$B,MATCH("งานด่วนเพิ่ม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1" s="15" t="str">
        <f t="shared" si="5"/>
        <v/>
      </c>
      <c r="AO21" s="16" t="str">
        <f t="shared" si="6"/>
        <v/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7" t="str">
        <f t="shared" si="7"/>
        <v/>
      </c>
      <c r="BB21" s="7" t="str">
        <f t="shared" si="8"/>
        <v/>
      </c>
    </row>
    <row r="22" spans="1:54" x14ac:dyDescent="0.3">
      <c r="A22" s="15" t="str">
        <f t="shared" si="0"/>
        <v/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5" t="str">
        <f t="shared" si="1"/>
        <v/>
      </c>
      <c r="O22" s="5"/>
      <c r="P22" s="15" t="str">
        <f>IF($K22="","",IF(O22="ตัดบัญชี",IFERROR(INDEX(Fee_ตัดบัญชี!$D:$D,MATCH(BB22,Fee_ตัดบัญชี!$C:$C,0)),0),0))</f>
        <v/>
      </c>
      <c r="Q22" s="15" t="str">
        <f>IF($K22="","",IF(O22="แจ้งย้าย",IFERROR(INDEX(Fee_แจ้งย้าย!$D:$D,MATCH(BB22,Fee_แจ้งย้าย!$C:$C,0)),0),0))</f>
        <v/>
      </c>
      <c r="R22" s="15" t="str">
        <f t="shared" si="2"/>
        <v/>
      </c>
      <c r="S22" s="5"/>
      <c r="T22" s="15" t="str">
        <f>IF($K22="","",IF(O22&lt;&gt;"ตัดบัญชี",0,IF(S22="กทม.",IFERROR(INDEX(Fee_ตรวจรถ_กทม!$D:$D,MATCH(BB22,Fee_ตรวจรถ_กทม!$C:$C,0)),0),IF(S22="ต่างจังหวัด",IFERROR(INDEX(Fee_ตรวจรถ_ตจว!$D:$D,MATCH(L22&amp;"|"&amp;K22,Fee_ตรวจรถ_ตจว!$C:$C,0)),0),0))))</f>
        <v/>
      </c>
      <c r="U22" s="15" t="str">
        <f t="shared" si="3"/>
        <v/>
      </c>
      <c r="V22" s="15" t="str">
        <f>IF($K22="","",IF(U22="รถยนต์",IF(N22="ใช่",INDEX(Fee_รถยนต์_Bill!$B:$B,MATCH("ค่าคำขอ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(ปกติ)",Fee_รถยนต์_Bill!$A:$A,0))),IF(N22="ใช่",INDEX(Fee_จยย_Bill!$B:$B,MATCH("ค่าคำขอ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2" s="15" t="str">
        <f>IF($K22="","",IF(N22="ใช่",IF(U22="รถยนต์",INDEX(Fee_รถยนต์_Bill!$B:$B,MATCH("ค่าธรรมเนียมอื่นๆ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2" s="15" t="str">
        <f>IF($K22="","",IF(U22="รถยนต์",INDEX(Fee_รถยนต์_Bill!$B:$B,MATCH("ค่าตรวจสภาพรถ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2" s="15" t="str">
        <f>IF($K22="","",IF(U22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2" s="15" t="str">
        <f>IF($K22="","",IF(U22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2" s="5"/>
      <c r="AB22" s="5"/>
      <c r="AC22" s="15" t="str">
        <f>IF($K22="","",IF(AB22="เลขประมูล",INDEX(Fee_รถยนต์_Bill!$B:$B,MATCH("ค่าขอใช้เลขทะเบียน - เลขประมูล",Fee_รถยนต์_Bill!$A:$A,0)),IF(AB22="ไม่ใช่เลขประมูล",INDEX(Fee_รถยนต์_Bill!$B:$B,MATCH("ค่าขอใช้เลขทะเบียน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2" s="5"/>
      <c r="AE22" s="15" t="str">
        <f>IF($K22="","",IF(AD22="ป้ายขาวดำ",INDEX(Fee_รถยนต์_Bill!$B:$B,MATCH("ค่าทำแผ่นป้ายทะเบียนใหม่ - ป้ายขาวดำ",Fee_รถยนต์_Bill!$A:$A,0)),IF(AD22="ป้ายประมูล",INDEX(Fee_รถยนต์_Bill!$B:$B,MATCH("ค่าทำแผ่นป้ายทะเบียนใหม่ - ป้ายประมูล",Fee_รถยนต์_Bill!$A:$A,0)),0)))</f>
        <v/>
      </c>
      <c r="AF22" s="5"/>
      <c r="AG22" s="15" t="str">
        <f>IF($K22="","",IF(AF22="ใช่",INDEX(Fee_รถยนต์_Bill!$B:$B,MATCH("ค่าย้ายออกต่างจังหวัด",Fee_รถยนต์_Bill!$A:$A,0)),0))</f>
        <v/>
      </c>
      <c r="AH22" s="15" t="str">
        <f t="shared" si="4"/>
        <v/>
      </c>
      <c r="AI22" s="5"/>
      <c r="AJ22" s="15" t="str">
        <f>IF($K22="","",IF(U22="รถยนต์",IF(AI22="ใช่",INDEX(Fee_รถยนต์_NoBill!$B:$B,MATCH("ค่าอากร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2" s="15" t="str">
        <f>IF($K22="","",IF(U22="รถยนต์",IFERROR(INDEX(Fee_รถยนต์_NoBill!$B:$B,MATCH("ลงขัน - "&amp;K22,Fee_รถยนต์_NoBill!$A:$A,0)),0),IFERROR(INDEX(Fee_จยย_NoBill!$B:$B,MATCH("ลงขัน - รย.12 ทุกประเภท (CC)",Fee_จยย_NoBill!$A:$A,0)),0)))</f>
        <v/>
      </c>
      <c r="AL22" s="5"/>
      <c r="AM22" s="15" t="str">
        <f>IF($K22="","",IF(AL22="ใช่",IF(U22="รถยนต์",INDEX(Fee_รถยนต์_NoBill!$B:$B,MATCH("งานด่วนเพิ่ม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2" s="15" t="str">
        <f t="shared" si="5"/>
        <v/>
      </c>
      <c r="AO22" s="16" t="str">
        <f t="shared" si="6"/>
        <v/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7" t="str">
        <f t="shared" si="7"/>
        <v/>
      </c>
      <c r="BB22" s="7" t="str">
        <f t="shared" si="8"/>
        <v/>
      </c>
    </row>
    <row r="23" spans="1:54" x14ac:dyDescent="0.3">
      <c r="A23" s="15" t="str">
        <f t="shared" si="0"/>
        <v/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15" t="str">
        <f t="shared" si="1"/>
        <v/>
      </c>
      <c r="O23" s="5"/>
      <c r="P23" s="15" t="str">
        <f>IF($K23="","",IF(O23="ตัดบัญชี",IFERROR(INDEX(Fee_ตัดบัญชี!$D:$D,MATCH(BB23,Fee_ตัดบัญชี!$C:$C,0)),0),0))</f>
        <v/>
      </c>
      <c r="Q23" s="15" t="str">
        <f>IF($K23="","",IF(O23="แจ้งย้าย",IFERROR(INDEX(Fee_แจ้งย้าย!$D:$D,MATCH(BB23,Fee_แจ้งย้าย!$C:$C,0)),0),0))</f>
        <v/>
      </c>
      <c r="R23" s="15" t="str">
        <f t="shared" si="2"/>
        <v/>
      </c>
      <c r="S23" s="5"/>
      <c r="T23" s="15" t="str">
        <f>IF($K23="","",IF(O23&lt;&gt;"ตัดบัญชี",0,IF(S23="กทม.",IFERROR(INDEX(Fee_ตรวจรถ_กทม!$D:$D,MATCH(BB23,Fee_ตรวจรถ_กทม!$C:$C,0)),0),IF(S23="ต่างจังหวัด",IFERROR(INDEX(Fee_ตรวจรถ_ตจว!$D:$D,MATCH(L23&amp;"|"&amp;K23,Fee_ตรวจรถ_ตจว!$C:$C,0)),0),0))))</f>
        <v/>
      </c>
      <c r="U23" s="15" t="str">
        <f t="shared" si="3"/>
        <v/>
      </c>
      <c r="V23" s="15" t="str">
        <f>IF($K23="","",IF(U23="รถยนต์",IF(N23="ใช่",INDEX(Fee_รถยนต์_Bill!$B:$B,MATCH("ค่าคำขอ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3" s="15" t="str">
        <f>IF($K23="","",IF(N23="ใช่",IF(U23="รถยนต์",INDEX(Fee_รถยนต์_Bill!$B:$B,MATCH("ค่าธรรมเนียมอื่นๆ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3" s="15" t="str">
        <f>IF($K23="","",IF(U23="รถยนต์",INDEX(Fee_รถยนต์_Bill!$B:$B,MATCH("ค่าตรวจสภาพรถ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3" s="15" t="str">
        <f>IF($K23="","",IF(U23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3" s="15" t="str">
        <f>IF($K23="","",IF(U23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3" s="5"/>
      <c r="AB23" s="5"/>
      <c r="AC23" s="15" t="str">
        <f>IF($K23="","",IF(AB23="เลขประมูล",INDEX(Fee_รถยนต์_Bill!$B:$B,MATCH("ค่าขอใช้เลขทะเบียน - เลขประมูล",Fee_รถยนต์_Bill!$A:$A,0)),IF(AB23="ไม่ใช่เลขประมูล",INDEX(Fee_รถยนต์_Bill!$B:$B,MATCH("ค่าขอใช้เลขทะเบียน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3" s="5"/>
      <c r="AE23" s="15" t="str">
        <f>IF($K23="","",IF(AD23="ป้ายขาวดำ",INDEX(Fee_รถยนต์_Bill!$B:$B,MATCH("ค่าทำแผ่นป้ายทะเบียนใหม่ - ป้ายขาวดำ",Fee_รถยนต์_Bill!$A:$A,0)),IF(AD23="ป้ายประมูล",INDEX(Fee_รถยนต์_Bill!$B:$B,MATCH("ค่าทำแผ่นป้ายทะเบียนใหม่ - ป้ายประมูล",Fee_รถยนต์_Bill!$A:$A,0)),0)))</f>
        <v/>
      </c>
      <c r="AF23" s="5"/>
      <c r="AG23" s="15" t="str">
        <f>IF($K23="","",IF(AF23="ใช่",INDEX(Fee_รถยนต์_Bill!$B:$B,MATCH("ค่าย้ายออกต่างจังหวัด",Fee_รถยนต์_Bill!$A:$A,0)),0))</f>
        <v/>
      </c>
      <c r="AH23" s="15" t="str">
        <f t="shared" si="4"/>
        <v/>
      </c>
      <c r="AI23" s="5"/>
      <c r="AJ23" s="15" t="str">
        <f>IF($K23="","",IF(U23="รถยนต์",IF(AI23="ใช่",INDEX(Fee_รถยนต์_NoBill!$B:$B,MATCH("ค่าอากร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3" s="15" t="str">
        <f>IF($K23="","",IF(U23="รถยนต์",IFERROR(INDEX(Fee_รถยนต์_NoBill!$B:$B,MATCH("ลงขัน - "&amp;K23,Fee_รถยนต์_NoBill!$A:$A,0)),0),IFERROR(INDEX(Fee_จยย_NoBill!$B:$B,MATCH("ลงขัน - รย.12 ทุกประเภท (CC)",Fee_จยย_NoBill!$A:$A,0)),0)))</f>
        <v/>
      </c>
      <c r="AL23" s="5"/>
      <c r="AM23" s="15" t="str">
        <f>IF($K23="","",IF(AL23="ใช่",IF(U23="รถยนต์",INDEX(Fee_รถยนต์_NoBill!$B:$B,MATCH("งานด่วนเพิ่ม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3" s="15" t="str">
        <f t="shared" si="5"/>
        <v/>
      </c>
      <c r="AO23" s="16" t="str">
        <f t="shared" si="6"/>
        <v/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7" t="str">
        <f t="shared" si="7"/>
        <v/>
      </c>
      <c r="BB23" s="7" t="str">
        <f t="shared" si="8"/>
        <v/>
      </c>
    </row>
    <row r="24" spans="1:54" x14ac:dyDescent="0.3">
      <c r="A24" s="15" t="str">
        <f t="shared" si="0"/>
        <v/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5" t="str">
        <f t="shared" si="1"/>
        <v/>
      </c>
      <c r="O24" s="5"/>
      <c r="P24" s="15" t="str">
        <f>IF($K24="","",IF(O24="ตัดบัญชี",IFERROR(INDEX(Fee_ตัดบัญชี!$D:$D,MATCH(BB24,Fee_ตัดบัญชี!$C:$C,0)),0),0))</f>
        <v/>
      </c>
      <c r="Q24" s="15" t="str">
        <f>IF($K24="","",IF(O24="แจ้งย้าย",IFERROR(INDEX(Fee_แจ้งย้าย!$D:$D,MATCH(BB24,Fee_แจ้งย้าย!$C:$C,0)),0),0))</f>
        <v/>
      </c>
      <c r="R24" s="15" t="str">
        <f t="shared" si="2"/>
        <v/>
      </c>
      <c r="S24" s="5"/>
      <c r="T24" s="15" t="str">
        <f>IF($K24="","",IF(O24&lt;&gt;"ตัดบัญชี",0,IF(S24="กทม.",IFERROR(INDEX(Fee_ตรวจรถ_กทม!$D:$D,MATCH(BB24,Fee_ตรวจรถ_กทม!$C:$C,0)),0),IF(S24="ต่างจังหวัด",IFERROR(INDEX(Fee_ตรวจรถ_ตจว!$D:$D,MATCH(L24&amp;"|"&amp;K24,Fee_ตรวจรถ_ตจว!$C:$C,0)),0),0))))</f>
        <v/>
      </c>
      <c r="U24" s="15" t="str">
        <f t="shared" si="3"/>
        <v/>
      </c>
      <c r="V24" s="15" t="str">
        <f>IF($K24="","",IF(U24="รถยนต์",IF(N24="ใช่",INDEX(Fee_รถยนต์_Bill!$B:$B,MATCH("ค่าคำขอ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4" s="15" t="str">
        <f>IF($K24="","",IF(N24="ใช่",IF(U24="รถยนต์",INDEX(Fee_รถยนต์_Bill!$B:$B,MATCH("ค่าธรรมเนียมอื่นๆ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4" s="15" t="str">
        <f>IF($K24="","",IF(U24="รถยนต์",INDEX(Fee_รถยนต์_Bill!$B:$B,MATCH("ค่าตรวจสภาพรถ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4" s="15" t="str">
        <f>IF($K24="","",IF(U24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4" s="15" t="str">
        <f>IF($K24="","",IF(U24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4" s="5"/>
      <c r="AB24" s="5"/>
      <c r="AC24" s="15" t="str">
        <f>IF($K24="","",IF(AB24="เลขประมูล",INDEX(Fee_รถยนต์_Bill!$B:$B,MATCH("ค่าขอใช้เลขทะเบียน - เลขประมูล",Fee_รถยนต์_Bill!$A:$A,0)),IF(AB24="ไม่ใช่เลขประมูล",INDEX(Fee_รถยนต์_Bill!$B:$B,MATCH("ค่าขอใช้เลขทะเบียน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4" s="5"/>
      <c r="AE24" s="15" t="str">
        <f>IF($K24="","",IF(AD24="ป้ายขาวดำ",INDEX(Fee_รถยนต์_Bill!$B:$B,MATCH("ค่าทำแผ่นป้ายทะเบียนใหม่ - ป้ายขาวดำ",Fee_รถยนต์_Bill!$A:$A,0)),IF(AD24="ป้ายประมูล",INDEX(Fee_รถยนต์_Bill!$B:$B,MATCH("ค่าทำแผ่นป้ายทะเบียนใหม่ - ป้ายประมูล",Fee_รถยนต์_Bill!$A:$A,0)),0)))</f>
        <v/>
      </c>
      <c r="AF24" s="5"/>
      <c r="AG24" s="15" t="str">
        <f>IF($K24="","",IF(AF24="ใช่",INDEX(Fee_รถยนต์_Bill!$B:$B,MATCH("ค่าย้ายออกต่างจังหวัด",Fee_รถยนต์_Bill!$A:$A,0)),0))</f>
        <v/>
      </c>
      <c r="AH24" s="15" t="str">
        <f t="shared" si="4"/>
        <v/>
      </c>
      <c r="AI24" s="5"/>
      <c r="AJ24" s="15" t="str">
        <f>IF($K24="","",IF(U24="รถยนต์",IF(AI24="ใช่",INDEX(Fee_รถยนต์_NoBill!$B:$B,MATCH("ค่าอากร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4" s="15" t="str">
        <f>IF($K24="","",IF(U24="รถยนต์",IFERROR(INDEX(Fee_รถยนต์_NoBill!$B:$B,MATCH("ลงขัน - "&amp;K24,Fee_รถยนต์_NoBill!$A:$A,0)),0),IFERROR(INDEX(Fee_จยย_NoBill!$B:$B,MATCH("ลงขัน - รย.12 ทุกประเภท (CC)",Fee_จยย_NoBill!$A:$A,0)),0)))</f>
        <v/>
      </c>
      <c r="AL24" s="5"/>
      <c r="AM24" s="15" t="str">
        <f>IF($K24="","",IF(AL24="ใช่",IF(U24="รถยนต์",INDEX(Fee_รถยนต์_NoBill!$B:$B,MATCH("งานด่วนเพิ่ม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4" s="15" t="str">
        <f t="shared" si="5"/>
        <v/>
      </c>
      <c r="AO24" s="16" t="str">
        <f t="shared" si="6"/>
        <v/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7" t="str">
        <f t="shared" si="7"/>
        <v/>
      </c>
      <c r="BB24" s="7" t="str">
        <f t="shared" si="8"/>
        <v/>
      </c>
    </row>
    <row r="25" spans="1:54" x14ac:dyDescent="0.3">
      <c r="A25" s="15" t="str">
        <f t="shared" si="0"/>
        <v/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15" t="str">
        <f t="shared" si="1"/>
        <v/>
      </c>
      <c r="O25" s="5"/>
      <c r="P25" s="15" t="str">
        <f>IF($K25="","",IF(O25="ตัดบัญชี",IFERROR(INDEX(Fee_ตัดบัญชี!$D:$D,MATCH(BB25,Fee_ตัดบัญชี!$C:$C,0)),0),0))</f>
        <v/>
      </c>
      <c r="Q25" s="15" t="str">
        <f>IF($K25="","",IF(O25="แจ้งย้าย",IFERROR(INDEX(Fee_แจ้งย้าย!$D:$D,MATCH(BB25,Fee_แจ้งย้าย!$C:$C,0)),0),0))</f>
        <v/>
      </c>
      <c r="R25" s="15" t="str">
        <f t="shared" si="2"/>
        <v/>
      </c>
      <c r="S25" s="5"/>
      <c r="T25" s="15" t="str">
        <f>IF($K25="","",IF(O25&lt;&gt;"ตัดบัญชี",0,IF(S25="กทม.",IFERROR(INDEX(Fee_ตรวจรถ_กทม!$D:$D,MATCH(BB25,Fee_ตรวจรถ_กทม!$C:$C,0)),0),IF(S25="ต่างจังหวัด",IFERROR(INDEX(Fee_ตรวจรถ_ตจว!$D:$D,MATCH(L25&amp;"|"&amp;K25,Fee_ตรวจรถ_ตจว!$C:$C,0)),0),0))))</f>
        <v/>
      </c>
      <c r="U25" s="15" t="str">
        <f t="shared" si="3"/>
        <v/>
      </c>
      <c r="V25" s="15" t="str">
        <f>IF($K25="","",IF(U25="รถยนต์",IF(N25="ใช่",INDEX(Fee_รถยนต์_Bill!$B:$B,MATCH("ค่าคำขอ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5" s="15" t="str">
        <f>IF($K25="","",IF(N25="ใช่",IF(U25="รถยนต์",INDEX(Fee_รถยนต์_Bill!$B:$B,MATCH("ค่าธรรมเนียมอื่นๆ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5" s="15" t="str">
        <f>IF($K25="","",IF(U25="รถยนต์",INDEX(Fee_รถยนต์_Bill!$B:$B,MATCH("ค่าตรวจสภาพรถ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5" s="15" t="str">
        <f>IF($K25="","",IF(U25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5" s="15" t="str">
        <f>IF($K25="","",IF(U25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5" s="5"/>
      <c r="AB25" s="5"/>
      <c r="AC25" s="15" t="str">
        <f>IF($K25="","",IF(AB25="เลขประมูล",INDEX(Fee_รถยนต์_Bill!$B:$B,MATCH("ค่าขอใช้เลขทะเบียน - เลขประมูล",Fee_รถยนต์_Bill!$A:$A,0)),IF(AB25="ไม่ใช่เลขประมูล",INDEX(Fee_รถยนต์_Bill!$B:$B,MATCH("ค่าขอใช้เลขทะเบียน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5" s="5"/>
      <c r="AE25" s="15" t="str">
        <f>IF($K25="","",IF(AD25="ป้ายขาวดำ",INDEX(Fee_รถยนต์_Bill!$B:$B,MATCH("ค่าทำแผ่นป้ายทะเบียนใหม่ - ป้ายขาวดำ",Fee_รถยนต์_Bill!$A:$A,0)),IF(AD25="ป้ายประมูล",INDEX(Fee_รถยนต์_Bill!$B:$B,MATCH("ค่าทำแผ่นป้ายทะเบียนใหม่ - ป้ายประมูล",Fee_รถยนต์_Bill!$A:$A,0)),0)))</f>
        <v/>
      </c>
      <c r="AF25" s="5"/>
      <c r="AG25" s="15" t="str">
        <f>IF($K25="","",IF(AF25="ใช่",INDEX(Fee_รถยนต์_Bill!$B:$B,MATCH("ค่าย้ายออกต่างจังหวัด",Fee_รถยนต์_Bill!$A:$A,0)),0))</f>
        <v/>
      </c>
      <c r="AH25" s="15" t="str">
        <f t="shared" si="4"/>
        <v/>
      </c>
      <c r="AI25" s="5"/>
      <c r="AJ25" s="15" t="str">
        <f>IF($K25="","",IF(U25="รถยนต์",IF(AI25="ใช่",INDEX(Fee_รถยนต์_NoBill!$B:$B,MATCH("ค่าอากร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5" s="15" t="str">
        <f>IF($K25="","",IF(U25="รถยนต์",IFERROR(INDEX(Fee_รถยนต์_NoBill!$B:$B,MATCH("ลงขัน - "&amp;K25,Fee_รถยนต์_NoBill!$A:$A,0)),0),IFERROR(INDEX(Fee_จยย_NoBill!$B:$B,MATCH("ลงขัน - รย.12 ทุกประเภท (CC)",Fee_จยย_NoBill!$A:$A,0)),0)))</f>
        <v/>
      </c>
      <c r="AL25" s="5"/>
      <c r="AM25" s="15" t="str">
        <f>IF($K25="","",IF(AL25="ใช่",IF(U25="รถยนต์",INDEX(Fee_รถยนต์_NoBill!$B:$B,MATCH("งานด่วนเพิ่ม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5" s="15" t="str">
        <f t="shared" si="5"/>
        <v/>
      </c>
      <c r="AO25" s="16" t="str">
        <f t="shared" si="6"/>
        <v/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7" t="str">
        <f t="shared" si="7"/>
        <v/>
      </c>
      <c r="BB25" s="7" t="str">
        <f t="shared" si="8"/>
        <v/>
      </c>
    </row>
    <row r="26" spans="1:54" x14ac:dyDescent="0.3">
      <c r="A26" s="15" t="str">
        <f t="shared" si="0"/>
        <v/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15" t="str">
        <f t="shared" si="1"/>
        <v/>
      </c>
      <c r="O26" s="5"/>
      <c r="P26" s="15" t="str">
        <f>IF($K26="","",IF(O26="ตัดบัญชี",IFERROR(INDEX(Fee_ตัดบัญชี!$D:$D,MATCH(BB26,Fee_ตัดบัญชี!$C:$C,0)),0),0))</f>
        <v/>
      </c>
      <c r="Q26" s="15" t="str">
        <f>IF($K26="","",IF(O26="แจ้งย้าย",IFERROR(INDEX(Fee_แจ้งย้าย!$D:$D,MATCH(BB26,Fee_แจ้งย้าย!$C:$C,0)),0),0))</f>
        <v/>
      </c>
      <c r="R26" s="15" t="str">
        <f t="shared" si="2"/>
        <v/>
      </c>
      <c r="S26" s="5"/>
      <c r="T26" s="15" t="str">
        <f>IF($K26="","",IF(O26&lt;&gt;"ตัดบัญชี",0,IF(S26="กทม.",IFERROR(INDEX(Fee_ตรวจรถ_กทม!$D:$D,MATCH(BB26,Fee_ตรวจรถ_กทม!$C:$C,0)),0),IF(S26="ต่างจังหวัด",IFERROR(INDEX(Fee_ตรวจรถ_ตจว!$D:$D,MATCH(L26&amp;"|"&amp;K26,Fee_ตรวจรถ_ตจว!$C:$C,0)),0),0))))</f>
        <v/>
      </c>
      <c r="U26" s="15" t="str">
        <f t="shared" si="3"/>
        <v/>
      </c>
      <c r="V26" s="15" t="str">
        <f>IF($K26="","",IF(U26="รถยนต์",IF(N26="ใช่",INDEX(Fee_รถยนต์_Bill!$B:$B,MATCH("ค่าคำขอ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6" s="15" t="str">
        <f>IF($K26="","",IF(N26="ใช่",IF(U26="รถยนต์",INDEX(Fee_รถยนต์_Bill!$B:$B,MATCH("ค่าธรรมเนียมอื่นๆ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6" s="15" t="str">
        <f>IF($K26="","",IF(U26="รถยนต์",INDEX(Fee_รถยนต์_Bill!$B:$B,MATCH("ค่าตรวจสภาพรถ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6" s="15" t="str">
        <f>IF($K26="","",IF(U26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6" s="15" t="str">
        <f>IF($K26="","",IF(U26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6" s="5"/>
      <c r="AB26" s="5"/>
      <c r="AC26" s="15" t="str">
        <f>IF($K26="","",IF(AB26="เลขประมูล",INDEX(Fee_รถยนต์_Bill!$B:$B,MATCH("ค่าขอใช้เลขทะเบียน - เลขประมูล",Fee_รถยนต์_Bill!$A:$A,0)),IF(AB26="ไม่ใช่เลขประมูล",INDEX(Fee_รถยนต์_Bill!$B:$B,MATCH("ค่าขอใช้เลขทะเบียน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6" s="5"/>
      <c r="AE26" s="15" t="str">
        <f>IF($K26="","",IF(AD26="ป้ายขาวดำ",INDEX(Fee_รถยนต์_Bill!$B:$B,MATCH("ค่าทำแผ่นป้ายทะเบียนใหม่ - ป้ายขาวดำ",Fee_รถยนต์_Bill!$A:$A,0)),IF(AD26="ป้ายประมูล",INDEX(Fee_รถยนต์_Bill!$B:$B,MATCH("ค่าทำแผ่นป้ายทะเบียนใหม่ - ป้ายประมูล",Fee_รถยนต์_Bill!$A:$A,0)),0)))</f>
        <v/>
      </c>
      <c r="AF26" s="5"/>
      <c r="AG26" s="15" t="str">
        <f>IF($K26="","",IF(AF26="ใช่",INDEX(Fee_รถยนต์_Bill!$B:$B,MATCH("ค่าย้ายออกต่างจังหวัด",Fee_รถยนต์_Bill!$A:$A,0)),0))</f>
        <v/>
      </c>
      <c r="AH26" s="15" t="str">
        <f t="shared" si="4"/>
        <v/>
      </c>
      <c r="AI26" s="5"/>
      <c r="AJ26" s="15" t="str">
        <f>IF($K26="","",IF(U26="รถยนต์",IF(AI26="ใช่",INDEX(Fee_รถยนต์_NoBill!$B:$B,MATCH("ค่าอากร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6" s="15" t="str">
        <f>IF($K26="","",IF(U26="รถยนต์",IFERROR(INDEX(Fee_รถยนต์_NoBill!$B:$B,MATCH("ลงขัน - "&amp;K26,Fee_รถยนต์_NoBill!$A:$A,0)),0),IFERROR(INDEX(Fee_จยย_NoBill!$B:$B,MATCH("ลงขัน - รย.12 ทุกประเภท (CC)",Fee_จยย_NoBill!$A:$A,0)),0)))</f>
        <v/>
      </c>
      <c r="AL26" s="5"/>
      <c r="AM26" s="15" t="str">
        <f>IF($K26="","",IF(AL26="ใช่",IF(U26="รถยนต์",INDEX(Fee_รถยนต์_NoBill!$B:$B,MATCH("งานด่วนเพิ่ม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6" s="15" t="str">
        <f t="shared" si="5"/>
        <v/>
      </c>
      <c r="AO26" s="16" t="str">
        <f t="shared" si="6"/>
        <v/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7" t="str">
        <f t="shared" si="7"/>
        <v/>
      </c>
      <c r="BB26" s="7" t="str">
        <f t="shared" si="8"/>
        <v/>
      </c>
    </row>
    <row r="27" spans="1:54" x14ac:dyDescent="0.3">
      <c r="A27" s="15" t="str">
        <f t="shared" si="0"/>
        <v/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15" t="str">
        <f t="shared" si="1"/>
        <v/>
      </c>
      <c r="O27" s="5"/>
      <c r="P27" s="15" t="str">
        <f>IF($K27="","",IF(O27="ตัดบัญชี",IFERROR(INDEX(Fee_ตัดบัญชี!$D:$D,MATCH(BB27,Fee_ตัดบัญชี!$C:$C,0)),0),0))</f>
        <v/>
      </c>
      <c r="Q27" s="15" t="str">
        <f>IF($K27="","",IF(O27="แจ้งย้าย",IFERROR(INDEX(Fee_แจ้งย้าย!$D:$D,MATCH(BB27,Fee_แจ้งย้าย!$C:$C,0)),0),0))</f>
        <v/>
      </c>
      <c r="R27" s="15" t="str">
        <f t="shared" si="2"/>
        <v/>
      </c>
      <c r="S27" s="5"/>
      <c r="T27" s="15" t="str">
        <f>IF($K27="","",IF(O27&lt;&gt;"ตัดบัญชี",0,IF(S27="กทม.",IFERROR(INDEX(Fee_ตรวจรถ_กทม!$D:$D,MATCH(BB27,Fee_ตรวจรถ_กทม!$C:$C,0)),0),IF(S27="ต่างจังหวัด",IFERROR(INDEX(Fee_ตรวจรถ_ตจว!$D:$D,MATCH(L27&amp;"|"&amp;K27,Fee_ตรวจรถ_ตจว!$C:$C,0)),0),0))))</f>
        <v/>
      </c>
      <c r="U27" s="15" t="str">
        <f t="shared" si="3"/>
        <v/>
      </c>
      <c r="V27" s="15" t="str">
        <f>IF($K27="","",IF(U27="รถยนต์",IF(N27="ใช่",INDEX(Fee_รถยนต์_Bill!$B:$B,MATCH("ค่าคำขอ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7" s="15" t="str">
        <f>IF($K27="","",IF(N27="ใช่",IF(U27="รถยนต์",INDEX(Fee_รถยนต์_Bill!$B:$B,MATCH("ค่าธรรมเนียมอื่นๆ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7" s="15" t="str">
        <f>IF($K27="","",IF(U27="รถยนต์",INDEX(Fee_รถยนต์_Bill!$B:$B,MATCH("ค่าตรวจสภาพรถ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7" s="15" t="str">
        <f>IF($K27="","",IF(U27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7" s="15" t="str">
        <f>IF($K27="","",IF(U27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7" s="5"/>
      <c r="AB27" s="5"/>
      <c r="AC27" s="15" t="str">
        <f>IF($K27="","",IF(AB27="เลขประมูล",INDEX(Fee_รถยนต์_Bill!$B:$B,MATCH("ค่าขอใช้เลขทะเบียน - เลขประมูล",Fee_รถยนต์_Bill!$A:$A,0)),IF(AB27="ไม่ใช่เลขประมูล",INDEX(Fee_รถยนต์_Bill!$B:$B,MATCH("ค่าขอใช้เลขทะเบียน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7" s="5"/>
      <c r="AE27" s="15" t="str">
        <f>IF($K27="","",IF(AD27="ป้ายขาวดำ",INDEX(Fee_รถยนต์_Bill!$B:$B,MATCH("ค่าทำแผ่นป้ายทะเบียนใหม่ - ป้ายขาวดำ",Fee_รถยนต์_Bill!$A:$A,0)),IF(AD27="ป้ายประมูล",INDEX(Fee_รถยนต์_Bill!$B:$B,MATCH("ค่าทำแผ่นป้ายทะเบียนใหม่ - ป้ายประมูล",Fee_รถยนต์_Bill!$A:$A,0)),0)))</f>
        <v/>
      </c>
      <c r="AF27" s="5"/>
      <c r="AG27" s="15" t="str">
        <f>IF($K27="","",IF(AF27="ใช่",INDEX(Fee_รถยนต์_Bill!$B:$B,MATCH("ค่าย้ายออกต่างจังหวัด",Fee_รถยนต์_Bill!$A:$A,0)),0))</f>
        <v/>
      </c>
      <c r="AH27" s="15" t="str">
        <f t="shared" si="4"/>
        <v/>
      </c>
      <c r="AI27" s="5"/>
      <c r="AJ27" s="15" t="str">
        <f>IF($K27="","",IF(U27="รถยนต์",IF(AI27="ใช่",INDEX(Fee_รถยนต์_NoBill!$B:$B,MATCH("ค่าอากร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7" s="15" t="str">
        <f>IF($K27="","",IF(U27="รถยนต์",IFERROR(INDEX(Fee_รถยนต์_NoBill!$B:$B,MATCH("ลงขัน - "&amp;K27,Fee_รถยนต์_NoBill!$A:$A,0)),0),IFERROR(INDEX(Fee_จยย_NoBill!$B:$B,MATCH("ลงขัน - รย.12 ทุกประเภท (CC)",Fee_จยย_NoBill!$A:$A,0)),0)))</f>
        <v/>
      </c>
      <c r="AL27" s="5"/>
      <c r="AM27" s="15" t="str">
        <f>IF($K27="","",IF(AL27="ใช่",IF(U27="รถยนต์",INDEX(Fee_รถยนต์_NoBill!$B:$B,MATCH("งานด่วนเพิ่ม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7" s="15" t="str">
        <f t="shared" si="5"/>
        <v/>
      </c>
      <c r="AO27" s="16" t="str">
        <f t="shared" si="6"/>
        <v/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7" t="str">
        <f t="shared" si="7"/>
        <v/>
      </c>
      <c r="BB27" s="7" t="str">
        <f t="shared" si="8"/>
        <v/>
      </c>
    </row>
    <row r="28" spans="1:54" x14ac:dyDescent="0.3">
      <c r="A28" s="15" t="str">
        <f t="shared" si="0"/>
        <v/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15" t="str">
        <f t="shared" si="1"/>
        <v/>
      </c>
      <c r="O28" s="5"/>
      <c r="P28" s="15" t="str">
        <f>IF($K28="","",IF(O28="ตัดบัญชี",IFERROR(INDEX(Fee_ตัดบัญชี!$D:$D,MATCH(BB28,Fee_ตัดบัญชี!$C:$C,0)),0),0))</f>
        <v/>
      </c>
      <c r="Q28" s="15" t="str">
        <f>IF($K28="","",IF(O28="แจ้งย้าย",IFERROR(INDEX(Fee_แจ้งย้าย!$D:$D,MATCH(BB28,Fee_แจ้งย้าย!$C:$C,0)),0),0))</f>
        <v/>
      </c>
      <c r="R28" s="15" t="str">
        <f t="shared" si="2"/>
        <v/>
      </c>
      <c r="S28" s="5"/>
      <c r="T28" s="15" t="str">
        <f>IF($K28="","",IF(O28&lt;&gt;"ตัดบัญชี",0,IF(S28="กทม.",IFERROR(INDEX(Fee_ตรวจรถ_กทม!$D:$D,MATCH(BB28,Fee_ตรวจรถ_กทม!$C:$C,0)),0),IF(S28="ต่างจังหวัด",IFERROR(INDEX(Fee_ตรวจรถ_ตจว!$D:$D,MATCH(L28&amp;"|"&amp;K28,Fee_ตรวจรถ_ตจว!$C:$C,0)),0),0))))</f>
        <v/>
      </c>
      <c r="U28" s="15" t="str">
        <f t="shared" si="3"/>
        <v/>
      </c>
      <c r="V28" s="15" t="str">
        <f>IF($K28="","",IF(U28="รถยนต์",IF(N28="ใช่",INDEX(Fee_รถยนต์_Bill!$B:$B,MATCH("ค่าคำขอ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8" s="15" t="str">
        <f>IF($K28="","",IF(N28="ใช่",IF(U28="รถยนต์",INDEX(Fee_รถยนต์_Bill!$B:$B,MATCH("ค่าธรรมเนียมอื่นๆ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8" s="15" t="str">
        <f>IF($K28="","",IF(U28="รถยนต์",INDEX(Fee_รถยนต์_Bill!$B:$B,MATCH("ค่าตรวจสภาพรถ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8" s="15" t="str">
        <f>IF($K28="","",IF(U28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8" s="15" t="str">
        <f>IF($K28="","",IF(U28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8" s="5"/>
      <c r="AB28" s="5"/>
      <c r="AC28" s="15" t="str">
        <f>IF($K28="","",IF(AB28="เลขประมูล",INDEX(Fee_รถยนต์_Bill!$B:$B,MATCH("ค่าขอใช้เลขทะเบียน - เลขประมูล",Fee_รถยนต์_Bill!$A:$A,0)),IF(AB28="ไม่ใช่เลขประมูล",INDEX(Fee_รถยนต์_Bill!$B:$B,MATCH("ค่าขอใช้เลขทะเบียน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8" s="5"/>
      <c r="AE28" s="15" t="str">
        <f>IF($K28="","",IF(AD28="ป้ายขาวดำ",INDEX(Fee_รถยนต์_Bill!$B:$B,MATCH("ค่าทำแผ่นป้ายทะเบียนใหม่ - ป้ายขาวดำ",Fee_รถยนต์_Bill!$A:$A,0)),IF(AD28="ป้ายประมูล",INDEX(Fee_รถยนต์_Bill!$B:$B,MATCH("ค่าทำแผ่นป้ายทะเบียนใหม่ - ป้ายประมูล",Fee_รถยนต์_Bill!$A:$A,0)),0)))</f>
        <v/>
      </c>
      <c r="AF28" s="5"/>
      <c r="AG28" s="15" t="str">
        <f>IF($K28="","",IF(AF28="ใช่",INDEX(Fee_รถยนต์_Bill!$B:$B,MATCH("ค่าย้ายออกต่างจังหวัด",Fee_รถยนต์_Bill!$A:$A,0)),0))</f>
        <v/>
      </c>
      <c r="AH28" s="15" t="str">
        <f t="shared" si="4"/>
        <v/>
      </c>
      <c r="AI28" s="5"/>
      <c r="AJ28" s="15" t="str">
        <f>IF($K28="","",IF(U28="รถยนต์",IF(AI28="ใช่",INDEX(Fee_รถยนต์_NoBill!$B:$B,MATCH("ค่าอากร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8" s="15" t="str">
        <f>IF($K28="","",IF(U28="รถยนต์",IFERROR(INDEX(Fee_รถยนต์_NoBill!$B:$B,MATCH("ลงขัน - "&amp;K28,Fee_รถยนต์_NoBill!$A:$A,0)),0),IFERROR(INDEX(Fee_จยย_NoBill!$B:$B,MATCH("ลงขัน - รย.12 ทุกประเภท (CC)",Fee_จยย_NoBill!$A:$A,0)),0)))</f>
        <v/>
      </c>
      <c r="AL28" s="5"/>
      <c r="AM28" s="15" t="str">
        <f>IF($K28="","",IF(AL28="ใช่",IF(U28="รถยนต์",INDEX(Fee_รถยนต์_NoBill!$B:$B,MATCH("งานด่วนเพิ่ม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8" s="15" t="str">
        <f t="shared" si="5"/>
        <v/>
      </c>
      <c r="AO28" s="16" t="str">
        <f t="shared" si="6"/>
        <v/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7" t="str">
        <f t="shared" si="7"/>
        <v/>
      </c>
      <c r="BB28" s="7" t="str">
        <f t="shared" si="8"/>
        <v/>
      </c>
    </row>
    <row r="29" spans="1:54" x14ac:dyDescent="0.3">
      <c r="A29" s="15" t="str">
        <f t="shared" si="0"/>
        <v/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5" t="str">
        <f t="shared" si="1"/>
        <v/>
      </c>
      <c r="O29" s="5"/>
      <c r="P29" s="15" t="str">
        <f>IF($K29="","",IF(O29="ตัดบัญชี",IFERROR(INDEX(Fee_ตัดบัญชี!$D:$D,MATCH(BB29,Fee_ตัดบัญชี!$C:$C,0)),0),0))</f>
        <v/>
      </c>
      <c r="Q29" s="15" t="str">
        <f>IF($K29="","",IF(O29="แจ้งย้าย",IFERROR(INDEX(Fee_แจ้งย้าย!$D:$D,MATCH(BB29,Fee_แจ้งย้าย!$C:$C,0)),0),0))</f>
        <v/>
      </c>
      <c r="R29" s="15" t="str">
        <f t="shared" si="2"/>
        <v/>
      </c>
      <c r="S29" s="5"/>
      <c r="T29" s="15" t="str">
        <f>IF($K29="","",IF(O29&lt;&gt;"ตัดบัญชี",0,IF(S29="กทม.",IFERROR(INDEX(Fee_ตรวจรถ_กทม!$D:$D,MATCH(BB29,Fee_ตรวจรถ_กทม!$C:$C,0)),0),IF(S29="ต่างจังหวัด",IFERROR(INDEX(Fee_ตรวจรถ_ตจว!$D:$D,MATCH(L29&amp;"|"&amp;K29,Fee_ตรวจรถ_ตจว!$C:$C,0)),0),0))))</f>
        <v/>
      </c>
      <c r="U29" s="15" t="str">
        <f t="shared" si="3"/>
        <v/>
      </c>
      <c r="V29" s="15" t="str">
        <f>IF($K29="","",IF(U29="รถยนต์",IF(N29="ใช่",INDEX(Fee_รถยนต์_Bill!$B:$B,MATCH("ค่าคำขอ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(ปกติ)",Fee_รถยนต์_Bill!$A:$A,0))),IF(N29="ใช่",INDEX(Fee_จยย_Bill!$B:$B,MATCH("ค่าคำขอ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29" s="15" t="str">
        <f>IF($K29="","",IF(N29="ใช่",IF(U29="รถยนต์",INDEX(Fee_รถยนต์_Bill!$B:$B,MATCH("ค่าธรรมเนียมอื่นๆ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29" s="15" t="str">
        <f>IF($K29="","",IF(U29="รถยนต์",INDEX(Fee_รถยนต์_Bill!$B:$B,MATCH("ค่าตรวจสภาพรถ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29" s="15" t="str">
        <f>IF($K29="","",IF(U29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29" s="15" t="str">
        <f>IF($K29="","",IF(U29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29" s="5"/>
      <c r="AB29" s="5"/>
      <c r="AC29" s="15" t="str">
        <f>IF($K29="","",IF(AB29="เลขประมูล",INDEX(Fee_รถยนต์_Bill!$B:$B,MATCH("ค่าขอใช้เลขทะเบียน - เลขประมูล",Fee_รถยนต์_Bill!$A:$A,0)),IF(AB29="ไม่ใช่เลขประมูล",INDEX(Fee_รถยนต์_Bill!$B:$B,MATCH("ค่าขอใช้เลขทะเบียน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29" s="5"/>
      <c r="AE29" s="15" t="str">
        <f>IF($K29="","",IF(AD29="ป้ายขาวดำ",INDEX(Fee_รถยนต์_Bill!$B:$B,MATCH("ค่าทำแผ่นป้ายทะเบียนใหม่ - ป้ายขาวดำ",Fee_รถยนต์_Bill!$A:$A,0)),IF(AD29="ป้ายประมูล",INDEX(Fee_รถยนต์_Bill!$B:$B,MATCH("ค่าทำแผ่นป้ายทะเบียนใหม่ - ป้ายประมูล",Fee_รถยนต์_Bill!$A:$A,0)),0)))</f>
        <v/>
      </c>
      <c r="AF29" s="5"/>
      <c r="AG29" s="15" t="str">
        <f>IF($K29="","",IF(AF29="ใช่",INDEX(Fee_รถยนต์_Bill!$B:$B,MATCH("ค่าย้ายออกต่างจังหวัด",Fee_รถยนต์_Bill!$A:$A,0)),0))</f>
        <v/>
      </c>
      <c r="AH29" s="15" t="str">
        <f t="shared" si="4"/>
        <v/>
      </c>
      <c r="AI29" s="5"/>
      <c r="AJ29" s="15" t="str">
        <f>IF($K29="","",IF(U29="รถยนต์",IF(AI29="ใช่",INDEX(Fee_รถยนต์_NoBill!$B:$B,MATCH("ค่าอากร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(ปกติ)",Fee_รถยนต์_NoBill!$A:$A,0))),IF(AI29="ใช่",INDEX(Fee_จยย_NoBill!$B:$B,MATCH("ค่าอากร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29" s="15" t="str">
        <f>IF($K29="","",IF(U29="รถยนต์",IFERROR(INDEX(Fee_รถยนต์_NoBill!$B:$B,MATCH("ลงขัน - "&amp;K29,Fee_รถยนต์_NoBill!$A:$A,0)),0),IFERROR(INDEX(Fee_จยย_NoBill!$B:$B,MATCH("ลงขัน - รย.12 ทุกประเภท (CC)",Fee_จยย_NoBill!$A:$A,0)),0)))</f>
        <v/>
      </c>
      <c r="AL29" s="5"/>
      <c r="AM29" s="15" t="str">
        <f>IF($K29="","",IF(AL29="ใช่",IF(U29="รถยนต์",INDEX(Fee_รถยนต์_NoBill!$B:$B,MATCH("งานด่วนเพิ่ม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29" s="15" t="str">
        <f t="shared" si="5"/>
        <v/>
      </c>
      <c r="AO29" s="16" t="str">
        <f t="shared" si="6"/>
        <v/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7" t="str">
        <f t="shared" si="7"/>
        <v/>
      </c>
      <c r="BB29" s="7" t="str">
        <f t="shared" si="8"/>
        <v/>
      </c>
    </row>
    <row r="30" spans="1:54" x14ac:dyDescent="0.3">
      <c r="A30" s="15" t="str">
        <f t="shared" si="0"/>
        <v/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15" t="str">
        <f t="shared" si="1"/>
        <v/>
      </c>
      <c r="O30" s="5"/>
      <c r="P30" s="15" t="str">
        <f>IF($K30="","",IF(O30="ตัดบัญชี",IFERROR(INDEX(Fee_ตัดบัญชี!$D:$D,MATCH(BB30,Fee_ตัดบัญชี!$C:$C,0)),0),0))</f>
        <v/>
      </c>
      <c r="Q30" s="15" t="str">
        <f>IF($K30="","",IF(O30="แจ้งย้าย",IFERROR(INDEX(Fee_แจ้งย้าย!$D:$D,MATCH(BB30,Fee_แจ้งย้าย!$C:$C,0)),0),0))</f>
        <v/>
      </c>
      <c r="R30" s="15" t="str">
        <f t="shared" si="2"/>
        <v/>
      </c>
      <c r="S30" s="5"/>
      <c r="T30" s="15" t="str">
        <f>IF($K30="","",IF(O30&lt;&gt;"ตัดบัญชี",0,IF(S30="กทม.",IFERROR(INDEX(Fee_ตรวจรถ_กทม!$D:$D,MATCH(BB30,Fee_ตรวจรถ_กทม!$C:$C,0)),0),IF(S30="ต่างจังหวัด",IFERROR(INDEX(Fee_ตรวจรถ_ตจว!$D:$D,MATCH(L30&amp;"|"&amp;K30,Fee_ตรวจรถ_ตจว!$C:$C,0)),0),0))))</f>
        <v/>
      </c>
      <c r="U30" s="15" t="str">
        <f t="shared" si="3"/>
        <v/>
      </c>
      <c r="V30" s="15" t="str">
        <f>IF($K30="","",IF(U30="รถยนต์",IF(N30="ใช่",INDEX(Fee_รถยนต์_Bill!$B:$B,MATCH("ค่าคำขอ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0" s="15" t="str">
        <f>IF($K30="","",IF(N30="ใช่",IF(U30="รถยนต์",INDEX(Fee_รถยนต์_Bill!$B:$B,MATCH("ค่าธรรมเนียมอื่นๆ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0" s="15" t="str">
        <f>IF($K30="","",IF(U30="รถยนต์",INDEX(Fee_รถยนต์_Bill!$B:$B,MATCH("ค่าตรวจสภาพรถ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0" s="15" t="str">
        <f>IF($K30="","",IF(U30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0" s="15" t="str">
        <f>IF($K30="","",IF(U30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0" s="5"/>
      <c r="AB30" s="5"/>
      <c r="AC30" s="15" t="str">
        <f>IF($K30="","",IF(AB30="เลขประมูล",INDEX(Fee_รถยนต์_Bill!$B:$B,MATCH("ค่าขอใช้เลขทะเบียน - เลขประมูล",Fee_รถยนต์_Bill!$A:$A,0)),IF(AB30="ไม่ใช่เลขประมูล",INDEX(Fee_รถยนต์_Bill!$B:$B,MATCH("ค่าขอใช้เลขทะเบียน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0" s="5"/>
      <c r="AE30" s="15" t="str">
        <f>IF($K30="","",IF(AD30="ป้ายขาวดำ",INDEX(Fee_รถยนต์_Bill!$B:$B,MATCH("ค่าทำแผ่นป้ายทะเบียนใหม่ - ป้ายขาวดำ",Fee_รถยนต์_Bill!$A:$A,0)),IF(AD30="ป้ายประมูล",INDEX(Fee_รถยนต์_Bill!$B:$B,MATCH("ค่าทำแผ่นป้ายทะเบียนใหม่ - ป้ายประมูล",Fee_รถยนต์_Bill!$A:$A,0)),0)))</f>
        <v/>
      </c>
      <c r="AF30" s="5"/>
      <c r="AG30" s="15" t="str">
        <f>IF($K30="","",IF(AF30="ใช่",INDEX(Fee_รถยนต์_Bill!$B:$B,MATCH("ค่าย้ายออกต่างจังหวัด",Fee_รถยนต์_Bill!$A:$A,0)),0))</f>
        <v/>
      </c>
      <c r="AH30" s="15" t="str">
        <f t="shared" si="4"/>
        <v/>
      </c>
      <c r="AI30" s="5"/>
      <c r="AJ30" s="15" t="str">
        <f>IF($K30="","",IF(U30="รถยนต์",IF(AI30="ใช่",INDEX(Fee_รถยนต์_NoBill!$B:$B,MATCH("ค่าอากร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0" s="15" t="str">
        <f>IF($K30="","",IF(U30="รถยนต์",IFERROR(INDEX(Fee_รถยนต์_NoBill!$B:$B,MATCH("ลงขัน - "&amp;K30,Fee_รถยนต์_NoBill!$A:$A,0)),0),IFERROR(INDEX(Fee_จยย_NoBill!$B:$B,MATCH("ลงขัน - รย.12 ทุกประเภท (CC)",Fee_จยย_NoBill!$A:$A,0)),0)))</f>
        <v/>
      </c>
      <c r="AL30" s="5"/>
      <c r="AM30" s="15" t="str">
        <f>IF($K30="","",IF(AL30="ใช่",IF(U30="รถยนต์",INDEX(Fee_รถยนต์_NoBill!$B:$B,MATCH("งานด่วนเพิ่ม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0" s="15" t="str">
        <f t="shared" si="5"/>
        <v/>
      </c>
      <c r="AO30" s="16" t="str">
        <f t="shared" si="6"/>
        <v/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7" t="str">
        <f t="shared" si="7"/>
        <v/>
      </c>
      <c r="BB30" s="7" t="str">
        <f t="shared" si="8"/>
        <v/>
      </c>
    </row>
    <row r="31" spans="1:54" x14ac:dyDescent="0.3">
      <c r="A31" s="15" t="str">
        <f t="shared" si="0"/>
        <v/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15" t="str">
        <f t="shared" si="1"/>
        <v/>
      </c>
      <c r="O31" s="5"/>
      <c r="P31" s="15" t="str">
        <f>IF($K31="","",IF(O31="ตัดบัญชี",IFERROR(INDEX(Fee_ตัดบัญชี!$D:$D,MATCH(BB31,Fee_ตัดบัญชี!$C:$C,0)),0),0))</f>
        <v/>
      </c>
      <c r="Q31" s="15" t="str">
        <f>IF($K31="","",IF(O31="แจ้งย้าย",IFERROR(INDEX(Fee_แจ้งย้าย!$D:$D,MATCH(BB31,Fee_แจ้งย้าย!$C:$C,0)),0),0))</f>
        <v/>
      </c>
      <c r="R31" s="15" t="str">
        <f t="shared" si="2"/>
        <v/>
      </c>
      <c r="S31" s="5"/>
      <c r="T31" s="15" t="str">
        <f>IF($K31="","",IF(O31&lt;&gt;"ตัดบัญชี",0,IF(S31="กทม.",IFERROR(INDEX(Fee_ตรวจรถ_กทม!$D:$D,MATCH(BB31,Fee_ตรวจรถ_กทม!$C:$C,0)),0),IF(S31="ต่างจังหวัด",IFERROR(INDEX(Fee_ตรวจรถ_ตจว!$D:$D,MATCH(L31&amp;"|"&amp;K31,Fee_ตรวจรถ_ตจว!$C:$C,0)),0),0))))</f>
        <v/>
      </c>
      <c r="U31" s="15" t="str">
        <f t="shared" si="3"/>
        <v/>
      </c>
      <c r="V31" s="15" t="str">
        <f>IF($K31="","",IF(U31="รถยนต์",IF(N31="ใช่",INDEX(Fee_รถยนต์_Bill!$B:$B,MATCH("ค่าคำขอ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1" s="15" t="str">
        <f>IF($K31="","",IF(N31="ใช่",IF(U31="รถยนต์",INDEX(Fee_รถยนต์_Bill!$B:$B,MATCH("ค่าธรรมเนียมอื่นๆ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1" s="15" t="str">
        <f>IF($K31="","",IF(U31="รถยนต์",INDEX(Fee_รถยนต์_Bill!$B:$B,MATCH("ค่าตรวจสภาพรถ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1" s="15" t="str">
        <f>IF($K31="","",IF(U31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1" s="15" t="str">
        <f>IF($K31="","",IF(U31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1" s="5"/>
      <c r="AB31" s="5"/>
      <c r="AC31" s="15" t="str">
        <f>IF($K31="","",IF(AB31="เลขประมูล",INDEX(Fee_รถยนต์_Bill!$B:$B,MATCH("ค่าขอใช้เลขทะเบียน - เลขประมูล",Fee_รถยนต์_Bill!$A:$A,0)),IF(AB31="ไม่ใช่เลขประมูล",INDEX(Fee_รถยนต์_Bill!$B:$B,MATCH("ค่าขอใช้เลขทะเบียน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1" s="5"/>
      <c r="AE31" s="15" t="str">
        <f>IF($K31="","",IF(AD31="ป้ายขาวดำ",INDEX(Fee_รถยนต์_Bill!$B:$B,MATCH("ค่าทำแผ่นป้ายทะเบียนใหม่ - ป้ายขาวดำ",Fee_รถยนต์_Bill!$A:$A,0)),IF(AD31="ป้ายประมูล",INDEX(Fee_รถยนต์_Bill!$B:$B,MATCH("ค่าทำแผ่นป้ายทะเบียนใหม่ - ป้ายประมูล",Fee_รถยนต์_Bill!$A:$A,0)),0)))</f>
        <v/>
      </c>
      <c r="AF31" s="5"/>
      <c r="AG31" s="15" t="str">
        <f>IF($K31="","",IF(AF31="ใช่",INDEX(Fee_รถยนต์_Bill!$B:$B,MATCH("ค่าย้ายออกต่างจังหวัด",Fee_รถยนต์_Bill!$A:$A,0)),0))</f>
        <v/>
      </c>
      <c r="AH31" s="15" t="str">
        <f t="shared" si="4"/>
        <v/>
      </c>
      <c r="AI31" s="5"/>
      <c r="AJ31" s="15" t="str">
        <f>IF($K31="","",IF(U31="รถยนต์",IF(AI31="ใช่",INDEX(Fee_รถยนต์_NoBill!$B:$B,MATCH("ค่าอากร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1" s="15" t="str">
        <f>IF($K31="","",IF(U31="รถยนต์",IFERROR(INDEX(Fee_รถยนต์_NoBill!$B:$B,MATCH("ลงขัน - "&amp;K31,Fee_รถยนต์_NoBill!$A:$A,0)),0),IFERROR(INDEX(Fee_จยย_NoBill!$B:$B,MATCH("ลงขัน - รย.12 ทุกประเภท (CC)",Fee_จยย_NoBill!$A:$A,0)),0)))</f>
        <v/>
      </c>
      <c r="AL31" s="5"/>
      <c r="AM31" s="15" t="str">
        <f>IF($K31="","",IF(AL31="ใช่",IF(U31="รถยนต์",INDEX(Fee_รถยนต์_NoBill!$B:$B,MATCH("งานด่วนเพิ่ม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1" s="15" t="str">
        <f t="shared" si="5"/>
        <v/>
      </c>
      <c r="AO31" s="16" t="str">
        <f t="shared" si="6"/>
        <v/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7" t="str">
        <f t="shared" si="7"/>
        <v/>
      </c>
      <c r="BB31" s="7" t="str">
        <f t="shared" si="8"/>
        <v/>
      </c>
    </row>
    <row r="32" spans="1:54" x14ac:dyDescent="0.3">
      <c r="A32" s="15" t="str">
        <f t="shared" si="0"/>
        <v/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15" t="str">
        <f t="shared" si="1"/>
        <v/>
      </c>
      <c r="O32" s="5"/>
      <c r="P32" s="15" t="str">
        <f>IF($K32="","",IF(O32="ตัดบัญชี",IFERROR(INDEX(Fee_ตัดบัญชี!$D:$D,MATCH(BB32,Fee_ตัดบัญชี!$C:$C,0)),0),0))</f>
        <v/>
      </c>
      <c r="Q32" s="15" t="str">
        <f>IF($K32="","",IF(O32="แจ้งย้าย",IFERROR(INDEX(Fee_แจ้งย้าย!$D:$D,MATCH(BB32,Fee_แจ้งย้าย!$C:$C,0)),0),0))</f>
        <v/>
      </c>
      <c r="R32" s="15" t="str">
        <f t="shared" si="2"/>
        <v/>
      </c>
      <c r="S32" s="5"/>
      <c r="T32" s="15" t="str">
        <f>IF($K32="","",IF(O32&lt;&gt;"ตัดบัญชี",0,IF(S32="กทม.",IFERROR(INDEX(Fee_ตรวจรถ_กทม!$D:$D,MATCH(BB32,Fee_ตรวจรถ_กทม!$C:$C,0)),0),IF(S32="ต่างจังหวัด",IFERROR(INDEX(Fee_ตรวจรถ_ตจว!$D:$D,MATCH(L32&amp;"|"&amp;K32,Fee_ตรวจรถ_ตจว!$C:$C,0)),0),0))))</f>
        <v/>
      </c>
      <c r="U32" s="15" t="str">
        <f t="shared" si="3"/>
        <v/>
      </c>
      <c r="V32" s="15" t="str">
        <f>IF($K32="","",IF(U32="รถยนต์",IF(N32="ใช่",INDEX(Fee_รถยนต์_Bill!$B:$B,MATCH("ค่าคำขอ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(ปกติ)",Fee_รถยนต์_Bill!$A:$A,0))),IF(N32="ใช่",INDEX(Fee_จยย_Bill!$B:$B,MATCH("ค่าคำขอ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2" s="15" t="str">
        <f>IF($K32="","",IF(N32="ใช่",IF(U32="รถยนต์",INDEX(Fee_รถยนต์_Bill!$B:$B,MATCH("ค่าธรรมเนียมอื่นๆ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2" s="15" t="str">
        <f>IF($K32="","",IF(U32="รถยนต์",INDEX(Fee_รถยนต์_Bill!$B:$B,MATCH("ค่าตรวจสภาพรถ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2" s="15" t="str">
        <f>IF($K32="","",IF(U32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2" s="15" t="str">
        <f>IF($K32="","",IF(U32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2" s="5"/>
      <c r="AB32" s="5"/>
      <c r="AC32" s="15" t="str">
        <f>IF($K32="","",IF(AB32="เลขประมูล",INDEX(Fee_รถยนต์_Bill!$B:$B,MATCH("ค่าขอใช้เลขทะเบียน - เลขประมูล",Fee_รถยนต์_Bill!$A:$A,0)),IF(AB32="ไม่ใช่เลขประมูล",INDEX(Fee_รถยนต์_Bill!$B:$B,MATCH("ค่าขอใช้เลขทะเบียน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2" s="5"/>
      <c r="AE32" s="15" t="str">
        <f>IF($K32="","",IF(AD32="ป้ายขาวดำ",INDEX(Fee_รถยนต์_Bill!$B:$B,MATCH("ค่าทำแผ่นป้ายทะเบียนใหม่ - ป้ายขาวดำ",Fee_รถยนต์_Bill!$A:$A,0)),IF(AD32="ป้ายประมูล",INDEX(Fee_รถยนต์_Bill!$B:$B,MATCH("ค่าทำแผ่นป้ายทะเบียนใหม่ - ป้ายประมูล",Fee_รถยนต์_Bill!$A:$A,0)),0)))</f>
        <v/>
      </c>
      <c r="AF32" s="5"/>
      <c r="AG32" s="15" t="str">
        <f>IF($K32="","",IF(AF32="ใช่",INDEX(Fee_รถยนต์_Bill!$B:$B,MATCH("ค่าย้ายออกต่างจังหวัด",Fee_รถยนต์_Bill!$A:$A,0)),0))</f>
        <v/>
      </c>
      <c r="AH32" s="15" t="str">
        <f t="shared" si="4"/>
        <v/>
      </c>
      <c r="AI32" s="5"/>
      <c r="AJ32" s="15" t="str">
        <f>IF($K32="","",IF(U32="รถยนต์",IF(AI32="ใช่",INDEX(Fee_รถยนต์_NoBill!$B:$B,MATCH("ค่าอากร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2" s="15" t="str">
        <f>IF($K32="","",IF(U32="รถยนต์",IFERROR(INDEX(Fee_รถยนต์_NoBill!$B:$B,MATCH("ลงขัน - "&amp;K32,Fee_รถยนต์_NoBill!$A:$A,0)),0),IFERROR(INDEX(Fee_จยย_NoBill!$B:$B,MATCH("ลงขัน - รย.12 ทุกประเภท (CC)",Fee_จยย_NoBill!$A:$A,0)),0)))</f>
        <v/>
      </c>
      <c r="AL32" s="5"/>
      <c r="AM32" s="15" t="str">
        <f>IF($K32="","",IF(AL32="ใช่",IF(U32="รถยนต์",INDEX(Fee_รถยนต์_NoBill!$B:$B,MATCH("งานด่วนเพิ่ม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2" s="15" t="str">
        <f t="shared" si="5"/>
        <v/>
      </c>
      <c r="AO32" s="16" t="str">
        <f t="shared" si="6"/>
        <v/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7" t="str">
        <f t="shared" si="7"/>
        <v/>
      </c>
      <c r="BB32" s="7" t="str">
        <f t="shared" si="8"/>
        <v/>
      </c>
    </row>
    <row r="33" spans="1:54" x14ac:dyDescent="0.3">
      <c r="A33" s="15" t="str">
        <f t="shared" si="0"/>
        <v/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15" t="str">
        <f t="shared" si="1"/>
        <v/>
      </c>
      <c r="O33" s="5"/>
      <c r="P33" s="15" t="str">
        <f>IF($K33="","",IF(O33="ตัดบัญชี",IFERROR(INDEX(Fee_ตัดบัญชี!$D:$D,MATCH(BB33,Fee_ตัดบัญชี!$C:$C,0)),0),0))</f>
        <v/>
      </c>
      <c r="Q33" s="15" t="str">
        <f>IF($K33="","",IF(O33="แจ้งย้าย",IFERROR(INDEX(Fee_แจ้งย้าย!$D:$D,MATCH(BB33,Fee_แจ้งย้าย!$C:$C,0)),0),0))</f>
        <v/>
      </c>
      <c r="R33" s="15" t="str">
        <f t="shared" si="2"/>
        <v/>
      </c>
      <c r="S33" s="5"/>
      <c r="T33" s="15" t="str">
        <f>IF($K33="","",IF(O33&lt;&gt;"ตัดบัญชี",0,IF(S33="กทม.",IFERROR(INDEX(Fee_ตรวจรถ_กทม!$D:$D,MATCH(BB33,Fee_ตรวจรถ_กทม!$C:$C,0)),0),IF(S33="ต่างจังหวัด",IFERROR(INDEX(Fee_ตรวจรถ_ตจว!$D:$D,MATCH(L33&amp;"|"&amp;K33,Fee_ตรวจรถ_ตจว!$C:$C,0)),0),0))))</f>
        <v/>
      </c>
      <c r="U33" s="15" t="str">
        <f t="shared" si="3"/>
        <v/>
      </c>
      <c r="V33" s="15" t="str">
        <f>IF($K33="","",IF(U33="รถยนต์",IF(N33="ใช่",INDEX(Fee_รถยนต์_Bill!$B:$B,MATCH("ค่าคำขอ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3" s="15" t="str">
        <f>IF($K33="","",IF(N33="ใช่",IF(U33="รถยนต์",INDEX(Fee_รถยนต์_Bill!$B:$B,MATCH("ค่าธรรมเนียมอื่นๆ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3" s="15" t="str">
        <f>IF($K33="","",IF(U33="รถยนต์",INDEX(Fee_รถยนต์_Bill!$B:$B,MATCH("ค่าตรวจสภาพรถ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3" s="15" t="str">
        <f>IF($K33="","",IF(U33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3" s="15" t="str">
        <f>IF($K33="","",IF(U33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3" s="5"/>
      <c r="AB33" s="5"/>
      <c r="AC33" s="15" t="str">
        <f>IF($K33="","",IF(AB33="เลขประมูล",INDEX(Fee_รถยนต์_Bill!$B:$B,MATCH("ค่าขอใช้เลขทะเบียน - เลขประมูล",Fee_รถยนต์_Bill!$A:$A,0)),IF(AB33="ไม่ใช่เลขประมูล",INDEX(Fee_รถยนต์_Bill!$B:$B,MATCH("ค่าขอใช้เลขทะเบียน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3" s="5"/>
      <c r="AE33" s="15" t="str">
        <f>IF($K33="","",IF(AD33="ป้ายขาวดำ",INDEX(Fee_รถยนต์_Bill!$B:$B,MATCH("ค่าทำแผ่นป้ายทะเบียนใหม่ - ป้ายขาวดำ",Fee_รถยนต์_Bill!$A:$A,0)),IF(AD33="ป้ายประมูล",INDEX(Fee_รถยนต์_Bill!$B:$B,MATCH("ค่าทำแผ่นป้ายทะเบียนใหม่ - ป้ายประมูล",Fee_รถยนต์_Bill!$A:$A,0)),0)))</f>
        <v/>
      </c>
      <c r="AF33" s="5"/>
      <c r="AG33" s="15" t="str">
        <f>IF($K33="","",IF(AF33="ใช่",INDEX(Fee_รถยนต์_Bill!$B:$B,MATCH("ค่าย้ายออกต่างจังหวัด",Fee_รถยนต์_Bill!$A:$A,0)),0))</f>
        <v/>
      </c>
      <c r="AH33" s="15" t="str">
        <f t="shared" si="4"/>
        <v/>
      </c>
      <c r="AI33" s="5"/>
      <c r="AJ33" s="15" t="str">
        <f>IF($K33="","",IF(U33="รถยนต์",IF(AI33="ใช่",INDEX(Fee_รถยนต์_NoBill!$B:$B,MATCH("ค่าอากร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3" s="15" t="str">
        <f>IF($K33="","",IF(U33="รถยนต์",IFERROR(INDEX(Fee_รถยนต์_NoBill!$B:$B,MATCH("ลงขัน - "&amp;K33,Fee_รถยนต์_NoBill!$A:$A,0)),0),IFERROR(INDEX(Fee_จยย_NoBill!$B:$B,MATCH("ลงขัน - รย.12 ทุกประเภท (CC)",Fee_จยย_NoBill!$A:$A,0)),0)))</f>
        <v/>
      </c>
      <c r="AL33" s="5"/>
      <c r="AM33" s="15" t="str">
        <f>IF($K33="","",IF(AL33="ใช่",IF(U33="รถยนต์",INDEX(Fee_รถยนต์_NoBill!$B:$B,MATCH("งานด่วนเพิ่ม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3" s="15" t="str">
        <f t="shared" si="5"/>
        <v/>
      </c>
      <c r="AO33" s="16" t="str">
        <f t="shared" si="6"/>
        <v/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7" t="str">
        <f t="shared" si="7"/>
        <v/>
      </c>
      <c r="BB33" s="7" t="str">
        <f t="shared" si="8"/>
        <v/>
      </c>
    </row>
    <row r="34" spans="1:54" x14ac:dyDescent="0.3">
      <c r="A34" s="15" t="str">
        <f t="shared" ref="A34:A65" si="9">IF($K34="","",ROW()-1)</f>
        <v/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15" t="str">
        <f t="shared" ref="N34:N65" si="10">IF(OR(L34="",M34=""),"",IF(L34&lt;&gt;M34,"ใช่","ไม่ใช่"))</f>
        <v/>
      </c>
      <c r="O34" s="5"/>
      <c r="P34" s="15" t="str">
        <f>IF($K34="","",IF(O34="ตัดบัญชี",IFERROR(INDEX(Fee_ตัดบัญชี!$D:$D,MATCH(BB34,Fee_ตัดบัญชี!$C:$C,0)),0),0))</f>
        <v/>
      </c>
      <c r="Q34" s="15" t="str">
        <f>IF($K34="","",IF(O34="แจ้งย้าย",IFERROR(INDEX(Fee_แจ้งย้าย!$D:$D,MATCH(BB34,Fee_แจ้งย้าย!$C:$C,0)),0),0))</f>
        <v/>
      </c>
      <c r="R34" s="15" t="str">
        <f t="shared" ref="R34:R65" si="11">IF($K34="","",IF(O34="แจ้งย้าย",5,0))</f>
        <v/>
      </c>
      <c r="S34" s="5"/>
      <c r="T34" s="15" t="str">
        <f>IF($K34="","",IF(O34&lt;&gt;"ตัดบัญชี",0,IF(S34="กทม.",IFERROR(INDEX(Fee_ตรวจรถ_กทม!$D:$D,MATCH(BB34,Fee_ตรวจรถ_กทม!$C:$C,0)),0),IF(S34="ต่างจังหวัด",IFERROR(INDEX(Fee_ตรวจรถ_ตจว!$D:$D,MATCH(L34&amp;"|"&amp;K34,Fee_ตรวจรถ_ตจว!$C:$C,0)),0),0))))</f>
        <v/>
      </c>
      <c r="U34" s="15" t="str">
        <f t="shared" ref="U34:U65" si="12">IF($K34="","",IF(LEFT(K34,5)="รย.12","รถจักรยานยนต์","รถยนต์"))</f>
        <v/>
      </c>
      <c r="V34" s="15" t="str">
        <f>IF($K34="","",IF(U34="รถยนต์",IF(N34="ใช่",INDEX(Fee_รถยนต์_Bill!$B:$B,MATCH("ค่าคำขอ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4" s="15" t="str">
        <f>IF($K34="","",IF(N34="ใช่",IF(U34="รถยนต์",INDEX(Fee_รถยนต์_Bill!$B:$B,MATCH("ค่าธรรมเนียมอื่นๆ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4" s="15" t="str">
        <f>IF($K34="","",IF(U34="รถยนต์",INDEX(Fee_รถยนต์_Bill!$B:$B,MATCH("ค่าตรวจสภาพรถ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4" s="15" t="str">
        <f>IF($K34="","",IF(U34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4" s="15" t="str">
        <f>IF($K34="","",IF(U34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4" s="5"/>
      <c r="AB34" s="5"/>
      <c r="AC34" s="15" t="str">
        <f>IF($K34="","",IF(AB34="เลขประมูล",INDEX(Fee_รถยนต์_Bill!$B:$B,MATCH("ค่าขอใช้เลขทะเบียน - เลขประมูล",Fee_รถยนต์_Bill!$A:$A,0)),IF(AB34="ไม่ใช่เลขประมูล",INDEX(Fee_รถยนต์_Bill!$B:$B,MATCH("ค่าขอใช้เลขทะเบียน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4" s="5"/>
      <c r="AE34" s="15" t="str">
        <f>IF($K34="","",IF(AD34="ป้ายขาวดำ",INDEX(Fee_รถยนต์_Bill!$B:$B,MATCH("ค่าทำแผ่นป้ายทะเบียนใหม่ - ป้ายขาวดำ",Fee_รถยนต์_Bill!$A:$A,0)),IF(AD34="ป้ายประมูล",INDEX(Fee_รถยนต์_Bill!$B:$B,MATCH("ค่าทำแผ่นป้ายทะเบียนใหม่ - ป้ายประมูล",Fee_รถยนต์_Bill!$A:$A,0)),0)))</f>
        <v/>
      </c>
      <c r="AF34" s="5"/>
      <c r="AG34" s="15" t="str">
        <f>IF($K34="","",IF(AF34="ใช่",INDEX(Fee_รถยนต์_Bill!$B:$B,MATCH("ค่าย้ายออกต่างจังหวัด",Fee_รถยนต์_Bill!$A:$A,0)),0))</f>
        <v/>
      </c>
      <c r="AH34" s="15" t="str">
        <f t="shared" ref="AH34:AH65" si="13">IF($K34="","",SUM(V34:AG34))</f>
        <v/>
      </c>
      <c r="AI34" s="5"/>
      <c r="AJ34" s="15" t="str">
        <f>IF($K34="","",IF(U34="รถยนต์",IF(AI34="ใช่",INDEX(Fee_รถยนต์_NoBill!$B:$B,MATCH("ค่าอากร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4" s="15" t="str">
        <f>IF($K34="","",IF(U34="รถยนต์",IFERROR(INDEX(Fee_รถยนต์_NoBill!$B:$B,MATCH("ลงขัน - "&amp;K34,Fee_รถยนต์_NoBill!$A:$A,0)),0),IFERROR(INDEX(Fee_จยย_NoBill!$B:$B,MATCH("ลงขัน - รย.12 ทุกประเภท (CC)",Fee_จยย_NoBill!$A:$A,0)),0)))</f>
        <v/>
      </c>
      <c r="AL34" s="5"/>
      <c r="AM34" s="15" t="str">
        <f>IF($K34="","",IF(AL34="ใช่",IF(U34="รถยนต์",INDEX(Fee_รถยนต์_NoBill!$B:$B,MATCH("งานด่วนเพิ่ม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4" s="15" t="str">
        <f t="shared" ref="AN34:AN65" si="14">IF($K34="","",SUM(AJ34:AM34))</f>
        <v/>
      </c>
      <c r="AO34" s="16" t="str">
        <f t="shared" ref="AO34:AO65" si="15">IF($K34="","",P34+Q34+R34+T34+AH34+AN34)</f>
        <v/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7" t="str">
        <f t="shared" ref="BA34:BA65" si="16">IF($K34="","",IF(AND(K34="รย.1-เก๋ง 2 ตอน",OR(F34="Benz",F34="BMW",F34="Lexus",F34="Volvo")),F34,"อื่นๆ"))</f>
        <v/>
      </c>
      <c r="BB34" s="7" t="str">
        <f t="shared" ref="BB34:BB65" si="17">IF($K34="","",K34&amp;"|"&amp;BA34)</f>
        <v/>
      </c>
    </row>
    <row r="35" spans="1:54" x14ac:dyDescent="0.3">
      <c r="A35" s="15" t="str">
        <f t="shared" si="9"/>
        <v/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15" t="str">
        <f t="shared" si="10"/>
        <v/>
      </c>
      <c r="O35" s="5"/>
      <c r="P35" s="15" t="str">
        <f>IF($K35="","",IF(O35="ตัดบัญชี",IFERROR(INDEX(Fee_ตัดบัญชี!$D:$D,MATCH(BB35,Fee_ตัดบัญชี!$C:$C,0)),0),0))</f>
        <v/>
      </c>
      <c r="Q35" s="15" t="str">
        <f>IF($K35="","",IF(O35="แจ้งย้าย",IFERROR(INDEX(Fee_แจ้งย้าย!$D:$D,MATCH(BB35,Fee_แจ้งย้าย!$C:$C,0)),0),0))</f>
        <v/>
      </c>
      <c r="R35" s="15" t="str">
        <f t="shared" si="11"/>
        <v/>
      </c>
      <c r="S35" s="5"/>
      <c r="T35" s="15" t="str">
        <f>IF($K35="","",IF(O35&lt;&gt;"ตัดบัญชี",0,IF(S35="กทม.",IFERROR(INDEX(Fee_ตรวจรถ_กทม!$D:$D,MATCH(BB35,Fee_ตรวจรถ_กทม!$C:$C,0)),0),IF(S35="ต่างจังหวัด",IFERROR(INDEX(Fee_ตรวจรถ_ตจว!$D:$D,MATCH(L35&amp;"|"&amp;K35,Fee_ตรวจรถ_ตจว!$C:$C,0)),0),0))))</f>
        <v/>
      </c>
      <c r="U35" s="15" t="str">
        <f t="shared" si="12"/>
        <v/>
      </c>
      <c r="V35" s="15" t="str">
        <f>IF($K35="","",IF(U35="รถยนต์",IF(N35="ใช่",INDEX(Fee_รถยนต์_Bill!$B:$B,MATCH("ค่าคำขอ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5" s="15" t="str">
        <f>IF($K35="","",IF(N35="ใช่",IF(U35="รถยนต์",INDEX(Fee_รถยนต์_Bill!$B:$B,MATCH("ค่าธรรมเนียมอื่นๆ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5" s="15" t="str">
        <f>IF($K35="","",IF(U35="รถยนต์",INDEX(Fee_รถยนต์_Bill!$B:$B,MATCH("ค่าตรวจสภาพรถ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5" s="15" t="str">
        <f>IF($K35="","",IF(U35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5" s="15" t="str">
        <f>IF($K35="","",IF(U35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5" s="5"/>
      <c r="AB35" s="5"/>
      <c r="AC35" s="15" t="str">
        <f>IF($K35="","",IF(AB35="เลขประมูล",INDEX(Fee_รถยนต์_Bill!$B:$B,MATCH("ค่าขอใช้เลขทะเบียน - เลขประมูล",Fee_รถยนต์_Bill!$A:$A,0)),IF(AB35="ไม่ใช่เลขประมูล",INDEX(Fee_รถยนต์_Bill!$B:$B,MATCH("ค่าขอใช้เลขทะเบียน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5" s="5"/>
      <c r="AE35" s="15" t="str">
        <f>IF($K35="","",IF(AD35="ป้ายขาวดำ",INDEX(Fee_รถยนต์_Bill!$B:$B,MATCH("ค่าทำแผ่นป้ายทะเบียนใหม่ - ป้ายขาวดำ",Fee_รถยนต์_Bill!$A:$A,0)),IF(AD35="ป้ายประมูล",INDEX(Fee_รถยนต์_Bill!$B:$B,MATCH("ค่าทำแผ่นป้ายทะเบียนใหม่ - ป้ายประมูล",Fee_รถยนต์_Bill!$A:$A,0)),0)))</f>
        <v/>
      </c>
      <c r="AF35" s="5"/>
      <c r="AG35" s="15" t="str">
        <f>IF($K35="","",IF(AF35="ใช่",INDEX(Fee_รถยนต์_Bill!$B:$B,MATCH("ค่าย้ายออกต่างจังหวัด",Fee_รถยนต์_Bill!$A:$A,0)),0))</f>
        <v/>
      </c>
      <c r="AH35" s="15" t="str">
        <f t="shared" si="13"/>
        <v/>
      </c>
      <c r="AI35" s="5"/>
      <c r="AJ35" s="15" t="str">
        <f>IF($K35="","",IF(U35="รถยนต์",IF(AI35="ใช่",INDEX(Fee_รถยนต์_NoBill!$B:$B,MATCH("ค่าอากร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5" s="15" t="str">
        <f>IF($K35="","",IF(U35="รถยนต์",IFERROR(INDEX(Fee_รถยนต์_NoBill!$B:$B,MATCH("ลงขัน - "&amp;K35,Fee_รถยนต์_NoBill!$A:$A,0)),0),IFERROR(INDEX(Fee_จยย_NoBill!$B:$B,MATCH("ลงขัน - รย.12 ทุกประเภท (CC)",Fee_จยย_NoBill!$A:$A,0)),0)))</f>
        <v/>
      </c>
      <c r="AL35" s="5"/>
      <c r="AM35" s="15" t="str">
        <f>IF($K35="","",IF(AL35="ใช่",IF(U35="รถยนต์",INDEX(Fee_รถยนต์_NoBill!$B:$B,MATCH("งานด่วนเพิ่ม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5" s="15" t="str">
        <f t="shared" si="14"/>
        <v/>
      </c>
      <c r="AO35" s="16" t="str">
        <f t="shared" si="15"/>
        <v/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7" t="str">
        <f t="shared" si="16"/>
        <v/>
      </c>
      <c r="BB35" s="7" t="str">
        <f t="shared" si="17"/>
        <v/>
      </c>
    </row>
    <row r="36" spans="1:54" x14ac:dyDescent="0.3">
      <c r="A36" s="15" t="str">
        <f t="shared" si="9"/>
        <v/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15" t="str">
        <f t="shared" si="10"/>
        <v/>
      </c>
      <c r="O36" s="5"/>
      <c r="P36" s="15" t="str">
        <f>IF($K36="","",IF(O36="ตัดบัญชี",IFERROR(INDEX(Fee_ตัดบัญชี!$D:$D,MATCH(BB36,Fee_ตัดบัญชี!$C:$C,0)),0),0))</f>
        <v/>
      </c>
      <c r="Q36" s="15" t="str">
        <f>IF($K36="","",IF(O36="แจ้งย้าย",IFERROR(INDEX(Fee_แจ้งย้าย!$D:$D,MATCH(BB36,Fee_แจ้งย้าย!$C:$C,0)),0),0))</f>
        <v/>
      </c>
      <c r="R36" s="15" t="str">
        <f t="shared" si="11"/>
        <v/>
      </c>
      <c r="S36" s="5"/>
      <c r="T36" s="15" t="str">
        <f>IF($K36="","",IF(O36&lt;&gt;"ตัดบัญชี",0,IF(S36="กทม.",IFERROR(INDEX(Fee_ตรวจรถ_กทม!$D:$D,MATCH(BB36,Fee_ตรวจรถ_กทม!$C:$C,0)),0),IF(S36="ต่างจังหวัด",IFERROR(INDEX(Fee_ตรวจรถ_ตจว!$D:$D,MATCH(L36&amp;"|"&amp;K36,Fee_ตรวจรถ_ตจว!$C:$C,0)),0),0))))</f>
        <v/>
      </c>
      <c r="U36" s="15" t="str">
        <f t="shared" si="12"/>
        <v/>
      </c>
      <c r="V36" s="15" t="str">
        <f>IF($K36="","",IF(U36="รถยนต์",IF(N36="ใช่",INDEX(Fee_รถยนต์_Bill!$B:$B,MATCH("ค่าคำขอ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6" s="15" t="str">
        <f>IF($K36="","",IF(N36="ใช่",IF(U36="รถยนต์",INDEX(Fee_รถยนต์_Bill!$B:$B,MATCH("ค่าธรรมเนียมอื่นๆ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6" s="15" t="str">
        <f>IF($K36="","",IF(U36="รถยนต์",INDEX(Fee_รถยนต์_Bill!$B:$B,MATCH("ค่าตรวจสภาพรถ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6" s="15" t="str">
        <f>IF($K36="","",IF(U36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6" s="15" t="str">
        <f>IF($K36="","",IF(U36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6" s="5"/>
      <c r="AB36" s="5"/>
      <c r="AC36" s="15" t="str">
        <f>IF($K36="","",IF(AB36="เลขประมูล",INDEX(Fee_รถยนต์_Bill!$B:$B,MATCH("ค่าขอใช้เลขทะเบียน - เลขประมูล",Fee_รถยนต์_Bill!$A:$A,0)),IF(AB36="ไม่ใช่เลขประมูล",INDEX(Fee_รถยนต์_Bill!$B:$B,MATCH("ค่าขอใช้เลขทะเบียน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6" s="5"/>
      <c r="AE36" s="15" t="str">
        <f>IF($K36="","",IF(AD36="ป้ายขาวดำ",INDEX(Fee_รถยนต์_Bill!$B:$B,MATCH("ค่าทำแผ่นป้ายทะเบียนใหม่ - ป้ายขาวดำ",Fee_รถยนต์_Bill!$A:$A,0)),IF(AD36="ป้ายประมูล",INDEX(Fee_รถยนต์_Bill!$B:$B,MATCH("ค่าทำแผ่นป้ายทะเบียนใหม่ - ป้ายประมูล",Fee_รถยนต์_Bill!$A:$A,0)),0)))</f>
        <v/>
      </c>
      <c r="AF36" s="5"/>
      <c r="AG36" s="15" t="str">
        <f>IF($K36="","",IF(AF36="ใช่",INDEX(Fee_รถยนต์_Bill!$B:$B,MATCH("ค่าย้ายออกต่างจังหวัด",Fee_รถยนต์_Bill!$A:$A,0)),0))</f>
        <v/>
      </c>
      <c r="AH36" s="15" t="str">
        <f t="shared" si="13"/>
        <v/>
      </c>
      <c r="AI36" s="5"/>
      <c r="AJ36" s="15" t="str">
        <f>IF($K36="","",IF(U36="รถยนต์",IF(AI36="ใช่",INDEX(Fee_รถยนต์_NoBill!$B:$B,MATCH("ค่าอากร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6" s="15" t="str">
        <f>IF($K36="","",IF(U36="รถยนต์",IFERROR(INDEX(Fee_รถยนต์_NoBill!$B:$B,MATCH("ลงขัน - "&amp;K36,Fee_รถยนต์_NoBill!$A:$A,0)),0),IFERROR(INDEX(Fee_จยย_NoBill!$B:$B,MATCH("ลงขัน - รย.12 ทุกประเภท (CC)",Fee_จยย_NoBill!$A:$A,0)),0)))</f>
        <v/>
      </c>
      <c r="AL36" s="5"/>
      <c r="AM36" s="15" t="str">
        <f>IF($K36="","",IF(AL36="ใช่",IF(U36="รถยนต์",INDEX(Fee_รถยนต์_NoBill!$B:$B,MATCH("งานด่วนเพิ่ม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6" s="15" t="str">
        <f t="shared" si="14"/>
        <v/>
      </c>
      <c r="AO36" s="16" t="str">
        <f t="shared" si="15"/>
        <v/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7" t="str">
        <f t="shared" si="16"/>
        <v/>
      </c>
      <c r="BB36" s="7" t="str">
        <f t="shared" si="17"/>
        <v/>
      </c>
    </row>
    <row r="37" spans="1:54" x14ac:dyDescent="0.3">
      <c r="A37" s="15" t="str">
        <f t="shared" si="9"/>
        <v/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15" t="str">
        <f t="shared" si="10"/>
        <v/>
      </c>
      <c r="O37" s="5"/>
      <c r="P37" s="15" t="str">
        <f>IF($K37="","",IF(O37="ตัดบัญชี",IFERROR(INDEX(Fee_ตัดบัญชี!$D:$D,MATCH(BB37,Fee_ตัดบัญชี!$C:$C,0)),0),0))</f>
        <v/>
      </c>
      <c r="Q37" s="15" t="str">
        <f>IF($K37="","",IF(O37="แจ้งย้าย",IFERROR(INDEX(Fee_แจ้งย้าย!$D:$D,MATCH(BB37,Fee_แจ้งย้าย!$C:$C,0)),0),0))</f>
        <v/>
      </c>
      <c r="R37" s="15" t="str">
        <f t="shared" si="11"/>
        <v/>
      </c>
      <c r="S37" s="5"/>
      <c r="T37" s="15" t="str">
        <f>IF($K37="","",IF(O37&lt;&gt;"ตัดบัญชี",0,IF(S37="กทม.",IFERROR(INDEX(Fee_ตรวจรถ_กทม!$D:$D,MATCH(BB37,Fee_ตรวจรถ_กทม!$C:$C,0)),0),IF(S37="ต่างจังหวัด",IFERROR(INDEX(Fee_ตรวจรถ_ตจว!$D:$D,MATCH(L37&amp;"|"&amp;K37,Fee_ตรวจรถ_ตจว!$C:$C,0)),0),0))))</f>
        <v/>
      </c>
      <c r="U37" s="15" t="str">
        <f t="shared" si="12"/>
        <v/>
      </c>
      <c r="V37" s="15" t="str">
        <f>IF($K37="","",IF(U37="รถยนต์",IF(N37="ใช่",INDEX(Fee_รถยนต์_Bill!$B:$B,MATCH("ค่าคำขอ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7" s="15" t="str">
        <f>IF($K37="","",IF(N37="ใช่",IF(U37="รถยนต์",INDEX(Fee_รถยนต์_Bill!$B:$B,MATCH("ค่าธรรมเนียมอื่นๆ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7" s="15" t="str">
        <f>IF($K37="","",IF(U37="รถยนต์",INDEX(Fee_รถยนต์_Bill!$B:$B,MATCH("ค่าตรวจสภาพรถ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7" s="15" t="str">
        <f>IF($K37="","",IF(U37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7" s="15" t="str">
        <f>IF($K37="","",IF(U37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7" s="5"/>
      <c r="AB37" s="5"/>
      <c r="AC37" s="15" t="str">
        <f>IF($K37="","",IF(AB37="เลขประมูล",INDEX(Fee_รถยนต์_Bill!$B:$B,MATCH("ค่าขอใช้เลขทะเบียน - เลขประมูล",Fee_รถยนต์_Bill!$A:$A,0)),IF(AB37="ไม่ใช่เลขประมูล",INDEX(Fee_รถยนต์_Bill!$B:$B,MATCH("ค่าขอใช้เลขทะเบียน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7" s="5"/>
      <c r="AE37" s="15" t="str">
        <f>IF($K37="","",IF(AD37="ป้ายขาวดำ",INDEX(Fee_รถยนต์_Bill!$B:$B,MATCH("ค่าทำแผ่นป้ายทะเบียนใหม่ - ป้ายขาวดำ",Fee_รถยนต์_Bill!$A:$A,0)),IF(AD37="ป้ายประมูล",INDEX(Fee_รถยนต์_Bill!$B:$B,MATCH("ค่าทำแผ่นป้ายทะเบียนใหม่ - ป้ายประมูล",Fee_รถยนต์_Bill!$A:$A,0)),0)))</f>
        <v/>
      </c>
      <c r="AF37" s="5"/>
      <c r="AG37" s="15" t="str">
        <f>IF($K37="","",IF(AF37="ใช่",INDEX(Fee_รถยนต์_Bill!$B:$B,MATCH("ค่าย้ายออกต่างจังหวัด",Fee_รถยนต์_Bill!$A:$A,0)),0))</f>
        <v/>
      </c>
      <c r="AH37" s="15" t="str">
        <f t="shared" si="13"/>
        <v/>
      </c>
      <c r="AI37" s="5"/>
      <c r="AJ37" s="15" t="str">
        <f>IF($K37="","",IF(U37="รถยนต์",IF(AI37="ใช่",INDEX(Fee_รถยนต์_NoBill!$B:$B,MATCH("ค่าอากร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7" s="15" t="str">
        <f>IF($K37="","",IF(U37="รถยนต์",IFERROR(INDEX(Fee_รถยนต์_NoBill!$B:$B,MATCH("ลงขัน - "&amp;K37,Fee_รถยนต์_NoBill!$A:$A,0)),0),IFERROR(INDEX(Fee_จยย_NoBill!$B:$B,MATCH("ลงขัน - รย.12 ทุกประเภท (CC)",Fee_จยย_NoBill!$A:$A,0)),0)))</f>
        <v/>
      </c>
      <c r="AL37" s="5"/>
      <c r="AM37" s="15" t="str">
        <f>IF($K37="","",IF(AL37="ใช่",IF(U37="รถยนต์",INDEX(Fee_รถยนต์_NoBill!$B:$B,MATCH("งานด่วนเพิ่ม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7" s="15" t="str">
        <f t="shared" si="14"/>
        <v/>
      </c>
      <c r="AO37" s="16" t="str">
        <f t="shared" si="15"/>
        <v/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7" t="str">
        <f t="shared" si="16"/>
        <v/>
      </c>
      <c r="BB37" s="7" t="str">
        <f t="shared" si="17"/>
        <v/>
      </c>
    </row>
    <row r="38" spans="1:54" x14ac:dyDescent="0.3">
      <c r="A38" s="15" t="str">
        <f t="shared" si="9"/>
        <v/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15" t="str">
        <f t="shared" si="10"/>
        <v/>
      </c>
      <c r="O38" s="5"/>
      <c r="P38" s="15" t="str">
        <f>IF($K38="","",IF(O38="ตัดบัญชี",IFERROR(INDEX(Fee_ตัดบัญชี!$D:$D,MATCH(BB38,Fee_ตัดบัญชี!$C:$C,0)),0),0))</f>
        <v/>
      </c>
      <c r="Q38" s="15" t="str">
        <f>IF($K38="","",IF(O38="แจ้งย้าย",IFERROR(INDEX(Fee_แจ้งย้าย!$D:$D,MATCH(BB38,Fee_แจ้งย้าย!$C:$C,0)),0),0))</f>
        <v/>
      </c>
      <c r="R38" s="15" t="str">
        <f t="shared" si="11"/>
        <v/>
      </c>
      <c r="S38" s="5"/>
      <c r="T38" s="15" t="str">
        <f>IF($K38="","",IF(O38&lt;&gt;"ตัดบัญชี",0,IF(S38="กทม.",IFERROR(INDEX(Fee_ตรวจรถ_กทม!$D:$D,MATCH(BB38,Fee_ตรวจรถ_กทม!$C:$C,0)),0),IF(S38="ต่างจังหวัด",IFERROR(INDEX(Fee_ตรวจรถ_ตจว!$D:$D,MATCH(L38&amp;"|"&amp;K38,Fee_ตรวจรถ_ตจว!$C:$C,0)),0),0))))</f>
        <v/>
      </c>
      <c r="U38" s="15" t="str">
        <f t="shared" si="12"/>
        <v/>
      </c>
      <c r="V38" s="15" t="str">
        <f>IF($K38="","",IF(U38="รถยนต์",IF(N38="ใช่",INDEX(Fee_รถยนต์_Bill!$B:$B,MATCH("ค่าคำขอ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8" s="15" t="str">
        <f>IF($K38="","",IF(N38="ใช่",IF(U38="รถยนต์",INDEX(Fee_รถยนต์_Bill!$B:$B,MATCH("ค่าธรรมเนียมอื่นๆ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8" s="15" t="str">
        <f>IF($K38="","",IF(U38="รถยนต์",INDEX(Fee_รถยนต์_Bill!$B:$B,MATCH("ค่าตรวจสภาพรถ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8" s="15" t="str">
        <f>IF($K38="","",IF(U38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8" s="15" t="str">
        <f>IF($K38="","",IF(U38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8" s="5"/>
      <c r="AB38" s="5"/>
      <c r="AC38" s="15" t="str">
        <f>IF($K38="","",IF(AB38="เลขประมูล",INDEX(Fee_รถยนต์_Bill!$B:$B,MATCH("ค่าขอใช้เลขทะเบียน - เลขประมูล",Fee_รถยนต์_Bill!$A:$A,0)),IF(AB38="ไม่ใช่เลขประมูล",INDEX(Fee_รถยนต์_Bill!$B:$B,MATCH("ค่าขอใช้เลขทะเบียน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8" s="5"/>
      <c r="AE38" s="15" t="str">
        <f>IF($K38="","",IF(AD38="ป้ายขาวดำ",INDEX(Fee_รถยนต์_Bill!$B:$B,MATCH("ค่าทำแผ่นป้ายทะเบียนใหม่ - ป้ายขาวดำ",Fee_รถยนต์_Bill!$A:$A,0)),IF(AD38="ป้ายประมูล",INDEX(Fee_รถยนต์_Bill!$B:$B,MATCH("ค่าทำแผ่นป้ายทะเบียนใหม่ - ป้ายประมูล",Fee_รถยนต์_Bill!$A:$A,0)),0)))</f>
        <v/>
      </c>
      <c r="AF38" s="5"/>
      <c r="AG38" s="15" t="str">
        <f>IF($K38="","",IF(AF38="ใช่",INDEX(Fee_รถยนต์_Bill!$B:$B,MATCH("ค่าย้ายออกต่างจังหวัด",Fee_รถยนต์_Bill!$A:$A,0)),0))</f>
        <v/>
      </c>
      <c r="AH38" s="15" t="str">
        <f t="shared" si="13"/>
        <v/>
      </c>
      <c r="AI38" s="5"/>
      <c r="AJ38" s="15" t="str">
        <f>IF($K38="","",IF(U38="รถยนต์",IF(AI38="ใช่",INDEX(Fee_รถยนต์_NoBill!$B:$B,MATCH("ค่าอากร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8" s="15" t="str">
        <f>IF($K38="","",IF(U38="รถยนต์",IFERROR(INDEX(Fee_รถยนต์_NoBill!$B:$B,MATCH("ลงขัน - "&amp;K38,Fee_รถยนต์_NoBill!$A:$A,0)),0),IFERROR(INDEX(Fee_จยย_NoBill!$B:$B,MATCH("ลงขัน - รย.12 ทุกประเภท (CC)",Fee_จยย_NoBill!$A:$A,0)),0)))</f>
        <v/>
      </c>
      <c r="AL38" s="5"/>
      <c r="AM38" s="15" t="str">
        <f>IF($K38="","",IF(AL38="ใช่",IF(U38="รถยนต์",INDEX(Fee_รถยนต์_NoBill!$B:$B,MATCH("งานด่วนเพิ่ม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8" s="15" t="str">
        <f t="shared" si="14"/>
        <v/>
      </c>
      <c r="AO38" s="16" t="str">
        <f t="shared" si="15"/>
        <v/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7" t="str">
        <f t="shared" si="16"/>
        <v/>
      </c>
      <c r="BB38" s="7" t="str">
        <f t="shared" si="17"/>
        <v/>
      </c>
    </row>
    <row r="39" spans="1:54" x14ac:dyDescent="0.3">
      <c r="A39" s="15" t="str">
        <f t="shared" si="9"/>
        <v/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15" t="str">
        <f t="shared" si="10"/>
        <v/>
      </c>
      <c r="O39" s="5"/>
      <c r="P39" s="15" t="str">
        <f>IF($K39="","",IF(O39="ตัดบัญชี",IFERROR(INDEX(Fee_ตัดบัญชี!$D:$D,MATCH(BB39,Fee_ตัดบัญชี!$C:$C,0)),0),0))</f>
        <v/>
      </c>
      <c r="Q39" s="15" t="str">
        <f>IF($K39="","",IF(O39="แจ้งย้าย",IFERROR(INDEX(Fee_แจ้งย้าย!$D:$D,MATCH(BB39,Fee_แจ้งย้าย!$C:$C,0)),0),0))</f>
        <v/>
      </c>
      <c r="R39" s="15" t="str">
        <f t="shared" si="11"/>
        <v/>
      </c>
      <c r="S39" s="5"/>
      <c r="T39" s="15" t="str">
        <f>IF($K39="","",IF(O39&lt;&gt;"ตัดบัญชี",0,IF(S39="กทม.",IFERROR(INDEX(Fee_ตรวจรถ_กทม!$D:$D,MATCH(BB39,Fee_ตรวจรถ_กทม!$C:$C,0)),0),IF(S39="ต่างจังหวัด",IFERROR(INDEX(Fee_ตรวจรถ_ตจว!$D:$D,MATCH(L39&amp;"|"&amp;K39,Fee_ตรวจรถ_ตจว!$C:$C,0)),0),0))))</f>
        <v/>
      </c>
      <c r="U39" s="15" t="str">
        <f t="shared" si="12"/>
        <v/>
      </c>
      <c r="V39" s="15" t="str">
        <f>IF($K39="","",IF(U39="รถยนต์",IF(N39="ใช่",INDEX(Fee_รถยนต์_Bill!$B:$B,MATCH("ค่าคำขอ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(ปกติ)",Fee_รถยนต์_Bill!$A:$A,0))),IF(N39="ใช่",INDEX(Fee_จยย_Bill!$B:$B,MATCH("ค่าคำขอ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39" s="15" t="str">
        <f>IF($K39="","",IF(N39="ใช่",IF(U39="รถยนต์",INDEX(Fee_รถยนต์_Bill!$B:$B,MATCH("ค่าธรรมเนียมอื่นๆ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39" s="15" t="str">
        <f>IF($K39="","",IF(U39="รถยนต์",INDEX(Fee_รถยนต์_Bill!$B:$B,MATCH("ค่าตรวจสภาพรถ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39" s="15" t="str">
        <f>IF($K39="","",IF(U39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39" s="15" t="str">
        <f>IF($K39="","",IF(U39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39" s="5"/>
      <c r="AB39" s="5"/>
      <c r="AC39" s="15" t="str">
        <f>IF($K39="","",IF(AB39="เลขประมูล",INDEX(Fee_รถยนต์_Bill!$B:$B,MATCH("ค่าขอใช้เลขทะเบียน - เลขประมูล",Fee_รถยนต์_Bill!$A:$A,0)),IF(AB39="ไม่ใช่เลขประมูล",INDEX(Fee_รถยนต์_Bill!$B:$B,MATCH("ค่าขอใช้เลขทะเบียน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39" s="5"/>
      <c r="AE39" s="15" t="str">
        <f>IF($K39="","",IF(AD39="ป้ายขาวดำ",INDEX(Fee_รถยนต์_Bill!$B:$B,MATCH("ค่าทำแผ่นป้ายทะเบียนใหม่ - ป้ายขาวดำ",Fee_รถยนต์_Bill!$A:$A,0)),IF(AD39="ป้ายประมูล",INDEX(Fee_รถยนต์_Bill!$B:$B,MATCH("ค่าทำแผ่นป้ายทะเบียนใหม่ - ป้ายประมูล",Fee_รถยนต์_Bill!$A:$A,0)),0)))</f>
        <v/>
      </c>
      <c r="AF39" s="5"/>
      <c r="AG39" s="15" t="str">
        <f>IF($K39="","",IF(AF39="ใช่",INDEX(Fee_รถยนต์_Bill!$B:$B,MATCH("ค่าย้ายออกต่างจังหวัด",Fee_รถยนต์_Bill!$A:$A,0)),0))</f>
        <v/>
      </c>
      <c r="AH39" s="15" t="str">
        <f t="shared" si="13"/>
        <v/>
      </c>
      <c r="AI39" s="5"/>
      <c r="AJ39" s="15" t="str">
        <f>IF($K39="","",IF(U39="รถยนต์",IF(AI39="ใช่",INDEX(Fee_รถยนต์_NoBill!$B:$B,MATCH("ค่าอากร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(ปกติ)",Fee_รถยนต์_NoBill!$A:$A,0))),IF(AI39="ใช่",INDEX(Fee_จยย_NoBill!$B:$B,MATCH("ค่าอากร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39" s="15" t="str">
        <f>IF($K39="","",IF(U39="รถยนต์",IFERROR(INDEX(Fee_รถยนต์_NoBill!$B:$B,MATCH("ลงขัน - "&amp;K39,Fee_รถยนต์_NoBill!$A:$A,0)),0),IFERROR(INDEX(Fee_จยย_NoBill!$B:$B,MATCH("ลงขัน - รย.12 ทุกประเภท (CC)",Fee_จยย_NoBill!$A:$A,0)),0)))</f>
        <v/>
      </c>
      <c r="AL39" s="5"/>
      <c r="AM39" s="15" t="str">
        <f>IF($K39="","",IF(AL39="ใช่",IF(U39="รถยนต์",INDEX(Fee_รถยนต์_NoBill!$B:$B,MATCH("งานด่วนเพิ่ม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39" s="15" t="str">
        <f t="shared" si="14"/>
        <v/>
      </c>
      <c r="AO39" s="16" t="str">
        <f t="shared" si="15"/>
        <v/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7" t="str">
        <f t="shared" si="16"/>
        <v/>
      </c>
      <c r="BB39" s="7" t="str">
        <f t="shared" si="17"/>
        <v/>
      </c>
    </row>
    <row r="40" spans="1:54" x14ac:dyDescent="0.3">
      <c r="A40" s="15" t="str">
        <f t="shared" si="9"/>
        <v/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15" t="str">
        <f t="shared" si="10"/>
        <v/>
      </c>
      <c r="O40" s="5"/>
      <c r="P40" s="15" t="str">
        <f>IF($K40="","",IF(O40="ตัดบัญชี",IFERROR(INDEX(Fee_ตัดบัญชี!$D:$D,MATCH(BB40,Fee_ตัดบัญชี!$C:$C,0)),0),0))</f>
        <v/>
      </c>
      <c r="Q40" s="15" t="str">
        <f>IF($K40="","",IF(O40="แจ้งย้าย",IFERROR(INDEX(Fee_แจ้งย้าย!$D:$D,MATCH(BB40,Fee_แจ้งย้าย!$C:$C,0)),0),0))</f>
        <v/>
      </c>
      <c r="R40" s="15" t="str">
        <f t="shared" si="11"/>
        <v/>
      </c>
      <c r="S40" s="5"/>
      <c r="T40" s="15" t="str">
        <f>IF($K40="","",IF(O40&lt;&gt;"ตัดบัญชี",0,IF(S40="กทม.",IFERROR(INDEX(Fee_ตรวจรถ_กทม!$D:$D,MATCH(BB40,Fee_ตรวจรถ_กทม!$C:$C,0)),0),IF(S40="ต่างจังหวัด",IFERROR(INDEX(Fee_ตรวจรถ_ตจว!$D:$D,MATCH(L40&amp;"|"&amp;K40,Fee_ตรวจรถ_ตจว!$C:$C,0)),0),0))))</f>
        <v/>
      </c>
      <c r="U40" s="15" t="str">
        <f t="shared" si="12"/>
        <v/>
      </c>
      <c r="V40" s="15" t="str">
        <f>IF($K40="","",IF(U40="รถยนต์",IF(N40="ใช่",INDEX(Fee_รถยนต์_Bill!$B:$B,MATCH("ค่าคำขอ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0" s="15" t="str">
        <f>IF($K40="","",IF(N40="ใช่",IF(U40="รถยนต์",INDEX(Fee_รถยนต์_Bill!$B:$B,MATCH("ค่าธรรมเนียมอื่นๆ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0" s="15" t="str">
        <f>IF($K40="","",IF(U40="รถยนต์",INDEX(Fee_รถยนต์_Bill!$B:$B,MATCH("ค่าตรวจสภาพรถ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0" s="15" t="str">
        <f>IF($K40="","",IF(U40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0" s="15" t="str">
        <f>IF($K40="","",IF(U40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0" s="5"/>
      <c r="AB40" s="5"/>
      <c r="AC40" s="15" t="str">
        <f>IF($K40="","",IF(AB40="เลขประมูล",INDEX(Fee_รถยนต์_Bill!$B:$B,MATCH("ค่าขอใช้เลขทะเบียน - เลขประมูล",Fee_รถยนต์_Bill!$A:$A,0)),IF(AB40="ไม่ใช่เลขประมูล",INDEX(Fee_รถยนต์_Bill!$B:$B,MATCH("ค่าขอใช้เลขทะเบียน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0" s="5"/>
      <c r="AE40" s="15" t="str">
        <f>IF($K40="","",IF(AD40="ป้ายขาวดำ",INDEX(Fee_รถยนต์_Bill!$B:$B,MATCH("ค่าทำแผ่นป้ายทะเบียนใหม่ - ป้ายขาวดำ",Fee_รถยนต์_Bill!$A:$A,0)),IF(AD40="ป้ายประมูล",INDEX(Fee_รถยนต์_Bill!$B:$B,MATCH("ค่าทำแผ่นป้ายทะเบียนใหม่ - ป้ายประมูล",Fee_รถยนต์_Bill!$A:$A,0)),0)))</f>
        <v/>
      </c>
      <c r="AF40" s="5"/>
      <c r="AG40" s="15" t="str">
        <f>IF($K40="","",IF(AF40="ใช่",INDEX(Fee_รถยนต์_Bill!$B:$B,MATCH("ค่าย้ายออกต่างจังหวัด",Fee_รถยนต์_Bill!$A:$A,0)),0))</f>
        <v/>
      </c>
      <c r="AH40" s="15" t="str">
        <f t="shared" si="13"/>
        <v/>
      </c>
      <c r="AI40" s="5"/>
      <c r="AJ40" s="15" t="str">
        <f>IF($K40="","",IF(U40="รถยนต์",IF(AI40="ใช่",INDEX(Fee_รถยนต์_NoBill!$B:$B,MATCH("ค่าอากร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0" s="15" t="str">
        <f>IF($K40="","",IF(U40="รถยนต์",IFERROR(INDEX(Fee_รถยนต์_NoBill!$B:$B,MATCH("ลงขัน - "&amp;K40,Fee_รถยนต์_NoBill!$A:$A,0)),0),IFERROR(INDEX(Fee_จยย_NoBill!$B:$B,MATCH("ลงขัน - รย.12 ทุกประเภท (CC)",Fee_จยย_NoBill!$A:$A,0)),0)))</f>
        <v/>
      </c>
      <c r="AL40" s="5"/>
      <c r="AM40" s="15" t="str">
        <f>IF($K40="","",IF(AL40="ใช่",IF(U40="รถยนต์",INDEX(Fee_รถยนต์_NoBill!$B:$B,MATCH("งานด่วนเพิ่ม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0" s="15" t="str">
        <f t="shared" si="14"/>
        <v/>
      </c>
      <c r="AO40" s="16" t="str">
        <f t="shared" si="15"/>
        <v/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7" t="str">
        <f t="shared" si="16"/>
        <v/>
      </c>
      <c r="BB40" s="7" t="str">
        <f t="shared" si="17"/>
        <v/>
      </c>
    </row>
    <row r="41" spans="1:54" x14ac:dyDescent="0.3">
      <c r="A41" s="15" t="str">
        <f t="shared" si="9"/>
        <v/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15" t="str">
        <f t="shared" si="10"/>
        <v/>
      </c>
      <c r="O41" s="5"/>
      <c r="P41" s="15" t="str">
        <f>IF($K41="","",IF(O41="ตัดบัญชี",IFERROR(INDEX(Fee_ตัดบัญชี!$D:$D,MATCH(BB41,Fee_ตัดบัญชี!$C:$C,0)),0),0))</f>
        <v/>
      </c>
      <c r="Q41" s="15" t="str">
        <f>IF($K41="","",IF(O41="แจ้งย้าย",IFERROR(INDEX(Fee_แจ้งย้าย!$D:$D,MATCH(BB41,Fee_แจ้งย้าย!$C:$C,0)),0),0))</f>
        <v/>
      </c>
      <c r="R41" s="15" t="str">
        <f t="shared" si="11"/>
        <v/>
      </c>
      <c r="S41" s="5"/>
      <c r="T41" s="15" t="str">
        <f>IF($K41="","",IF(O41&lt;&gt;"ตัดบัญชี",0,IF(S41="กทม.",IFERROR(INDEX(Fee_ตรวจรถ_กทม!$D:$D,MATCH(BB41,Fee_ตรวจรถ_กทม!$C:$C,0)),0),IF(S41="ต่างจังหวัด",IFERROR(INDEX(Fee_ตรวจรถ_ตจว!$D:$D,MATCH(L41&amp;"|"&amp;K41,Fee_ตรวจรถ_ตจว!$C:$C,0)),0),0))))</f>
        <v/>
      </c>
      <c r="U41" s="15" t="str">
        <f t="shared" si="12"/>
        <v/>
      </c>
      <c r="V41" s="15" t="str">
        <f>IF($K41="","",IF(U41="รถยนต์",IF(N41="ใช่",INDEX(Fee_รถยนต์_Bill!$B:$B,MATCH("ค่าคำขอ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1" s="15" t="str">
        <f>IF($K41="","",IF(N41="ใช่",IF(U41="รถยนต์",INDEX(Fee_รถยนต์_Bill!$B:$B,MATCH("ค่าธรรมเนียมอื่นๆ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1" s="15" t="str">
        <f>IF($K41="","",IF(U41="รถยนต์",INDEX(Fee_รถยนต์_Bill!$B:$B,MATCH("ค่าตรวจสภาพรถ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1" s="15" t="str">
        <f>IF($K41="","",IF(U41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1" s="15" t="str">
        <f>IF($K41="","",IF(U41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1" s="5"/>
      <c r="AB41" s="5"/>
      <c r="AC41" s="15" t="str">
        <f>IF($K41="","",IF(AB41="เลขประมูล",INDEX(Fee_รถยนต์_Bill!$B:$B,MATCH("ค่าขอใช้เลขทะเบียน - เลขประมูล",Fee_รถยนต์_Bill!$A:$A,0)),IF(AB41="ไม่ใช่เลขประมูล",INDEX(Fee_รถยนต์_Bill!$B:$B,MATCH("ค่าขอใช้เลขทะเบียน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1" s="5"/>
      <c r="AE41" s="15" t="str">
        <f>IF($K41="","",IF(AD41="ป้ายขาวดำ",INDEX(Fee_รถยนต์_Bill!$B:$B,MATCH("ค่าทำแผ่นป้ายทะเบียนใหม่ - ป้ายขาวดำ",Fee_รถยนต์_Bill!$A:$A,0)),IF(AD41="ป้ายประมูล",INDEX(Fee_รถยนต์_Bill!$B:$B,MATCH("ค่าทำแผ่นป้ายทะเบียนใหม่ - ป้ายประมูล",Fee_รถยนต์_Bill!$A:$A,0)),0)))</f>
        <v/>
      </c>
      <c r="AF41" s="5"/>
      <c r="AG41" s="15" t="str">
        <f>IF($K41="","",IF(AF41="ใช่",INDEX(Fee_รถยนต์_Bill!$B:$B,MATCH("ค่าย้ายออกต่างจังหวัด",Fee_รถยนต์_Bill!$A:$A,0)),0))</f>
        <v/>
      </c>
      <c r="AH41" s="15" t="str">
        <f t="shared" si="13"/>
        <v/>
      </c>
      <c r="AI41" s="5"/>
      <c r="AJ41" s="15" t="str">
        <f>IF($K41="","",IF(U41="รถยนต์",IF(AI41="ใช่",INDEX(Fee_รถยนต์_NoBill!$B:$B,MATCH("ค่าอากร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1" s="15" t="str">
        <f>IF($K41="","",IF(U41="รถยนต์",IFERROR(INDEX(Fee_รถยนต์_NoBill!$B:$B,MATCH("ลงขัน - "&amp;K41,Fee_รถยนต์_NoBill!$A:$A,0)),0),IFERROR(INDEX(Fee_จยย_NoBill!$B:$B,MATCH("ลงขัน - รย.12 ทุกประเภท (CC)",Fee_จยย_NoBill!$A:$A,0)),0)))</f>
        <v/>
      </c>
      <c r="AL41" s="5"/>
      <c r="AM41" s="15" t="str">
        <f>IF($K41="","",IF(AL41="ใช่",IF(U41="รถยนต์",INDEX(Fee_รถยนต์_NoBill!$B:$B,MATCH("งานด่วนเพิ่ม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1" s="15" t="str">
        <f t="shared" si="14"/>
        <v/>
      </c>
      <c r="AO41" s="16" t="str">
        <f t="shared" si="15"/>
        <v/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7" t="str">
        <f t="shared" si="16"/>
        <v/>
      </c>
      <c r="BB41" s="7" t="str">
        <f t="shared" si="17"/>
        <v/>
      </c>
    </row>
    <row r="42" spans="1:54" x14ac:dyDescent="0.3">
      <c r="A42" s="15" t="str">
        <f t="shared" si="9"/>
        <v/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15" t="str">
        <f t="shared" si="10"/>
        <v/>
      </c>
      <c r="O42" s="5"/>
      <c r="P42" s="15" t="str">
        <f>IF($K42="","",IF(O42="ตัดบัญชี",IFERROR(INDEX(Fee_ตัดบัญชี!$D:$D,MATCH(BB42,Fee_ตัดบัญชี!$C:$C,0)),0),0))</f>
        <v/>
      </c>
      <c r="Q42" s="15" t="str">
        <f>IF($K42="","",IF(O42="แจ้งย้าย",IFERROR(INDEX(Fee_แจ้งย้าย!$D:$D,MATCH(BB42,Fee_แจ้งย้าย!$C:$C,0)),0),0))</f>
        <v/>
      </c>
      <c r="R42" s="15" t="str">
        <f t="shared" si="11"/>
        <v/>
      </c>
      <c r="S42" s="5"/>
      <c r="T42" s="15" t="str">
        <f>IF($K42="","",IF(O42&lt;&gt;"ตัดบัญชี",0,IF(S42="กทม.",IFERROR(INDEX(Fee_ตรวจรถ_กทม!$D:$D,MATCH(BB42,Fee_ตรวจรถ_กทม!$C:$C,0)),0),IF(S42="ต่างจังหวัด",IFERROR(INDEX(Fee_ตรวจรถ_ตจว!$D:$D,MATCH(L42&amp;"|"&amp;K42,Fee_ตรวจรถ_ตจว!$C:$C,0)),0),0))))</f>
        <v/>
      </c>
      <c r="U42" s="15" t="str">
        <f t="shared" si="12"/>
        <v/>
      </c>
      <c r="V42" s="15" t="str">
        <f>IF($K42="","",IF(U42="รถยนต์",IF(N42="ใช่",INDEX(Fee_รถยนต์_Bill!$B:$B,MATCH("ค่าคำขอ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(ปกติ)",Fee_รถยนต์_Bill!$A:$A,0))),IF(N42="ใช่",INDEX(Fee_จยย_Bill!$B:$B,MATCH("ค่าคำขอ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2" s="15" t="str">
        <f>IF($K42="","",IF(N42="ใช่",IF(U42="รถยนต์",INDEX(Fee_รถยนต์_Bill!$B:$B,MATCH("ค่าธรรมเนียมอื่นๆ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2" s="15" t="str">
        <f>IF($K42="","",IF(U42="รถยนต์",INDEX(Fee_รถยนต์_Bill!$B:$B,MATCH("ค่าตรวจสภาพรถ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2" s="15" t="str">
        <f>IF($K42="","",IF(U42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2" s="15" t="str">
        <f>IF($K42="","",IF(U42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2" s="5"/>
      <c r="AB42" s="5"/>
      <c r="AC42" s="15" t="str">
        <f>IF($K42="","",IF(AB42="เลขประมูล",INDEX(Fee_รถยนต์_Bill!$B:$B,MATCH("ค่าขอใช้เลขทะเบียน - เลขประมูล",Fee_รถยนต์_Bill!$A:$A,0)),IF(AB42="ไม่ใช่เลขประมูล",INDEX(Fee_รถยนต์_Bill!$B:$B,MATCH("ค่าขอใช้เลขทะเบียน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2" s="5"/>
      <c r="AE42" s="15" t="str">
        <f>IF($K42="","",IF(AD42="ป้ายขาวดำ",INDEX(Fee_รถยนต์_Bill!$B:$B,MATCH("ค่าทำแผ่นป้ายทะเบียนใหม่ - ป้ายขาวดำ",Fee_รถยนต์_Bill!$A:$A,0)),IF(AD42="ป้ายประมูล",INDEX(Fee_รถยนต์_Bill!$B:$B,MATCH("ค่าทำแผ่นป้ายทะเบียนใหม่ - ป้ายประมูล",Fee_รถยนต์_Bill!$A:$A,0)),0)))</f>
        <v/>
      </c>
      <c r="AF42" s="5"/>
      <c r="AG42" s="15" t="str">
        <f>IF($K42="","",IF(AF42="ใช่",INDEX(Fee_รถยนต์_Bill!$B:$B,MATCH("ค่าย้ายออกต่างจังหวัด",Fee_รถยนต์_Bill!$A:$A,0)),0))</f>
        <v/>
      </c>
      <c r="AH42" s="15" t="str">
        <f t="shared" si="13"/>
        <v/>
      </c>
      <c r="AI42" s="5"/>
      <c r="AJ42" s="15" t="str">
        <f>IF($K42="","",IF(U42="รถยนต์",IF(AI42="ใช่",INDEX(Fee_รถยนต์_NoBill!$B:$B,MATCH("ค่าอากร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2" s="15" t="str">
        <f>IF($K42="","",IF(U42="รถยนต์",IFERROR(INDEX(Fee_รถยนต์_NoBill!$B:$B,MATCH("ลงขัน - "&amp;K42,Fee_รถยนต์_NoBill!$A:$A,0)),0),IFERROR(INDEX(Fee_จยย_NoBill!$B:$B,MATCH("ลงขัน - รย.12 ทุกประเภท (CC)",Fee_จยย_NoBill!$A:$A,0)),0)))</f>
        <v/>
      </c>
      <c r="AL42" s="5"/>
      <c r="AM42" s="15" t="str">
        <f>IF($K42="","",IF(AL42="ใช่",IF(U42="รถยนต์",INDEX(Fee_รถยนต์_NoBill!$B:$B,MATCH("งานด่วนเพิ่ม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2" s="15" t="str">
        <f t="shared" si="14"/>
        <v/>
      </c>
      <c r="AO42" s="16" t="str">
        <f t="shared" si="15"/>
        <v/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7" t="str">
        <f t="shared" si="16"/>
        <v/>
      </c>
      <c r="BB42" s="7" t="str">
        <f t="shared" si="17"/>
        <v/>
      </c>
    </row>
    <row r="43" spans="1:54" x14ac:dyDescent="0.3">
      <c r="A43" s="15" t="str">
        <f t="shared" si="9"/>
        <v/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15" t="str">
        <f t="shared" si="10"/>
        <v/>
      </c>
      <c r="O43" s="5"/>
      <c r="P43" s="15" t="str">
        <f>IF($K43="","",IF(O43="ตัดบัญชี",IFERROR(INDEX(Fee_ตัดบัญชี!$D:$D,MATCH(BB43,Fee_ตัดบัญชี!$C:$C,0)),0),0))</f>
        <v/>
      </c>
      <c r="Q43" s="15" t="str">
        <f>IF($K43="","",IF(O43="แจ้งย้าย",IFERROR(INDEX(Fee_แจ้งย้าย!$D:$D,MATCH(BB43,Fee_แจ้งย้าย!$C:$C,0)),0),0))</f>
        <v/>
      </c>
      <c r="R43" s="15" t="str">
        <f t="shared" si="11"/>
        <v/>
      </c>
      <c r="S43" s="5"/>
      <c r="T43" s="15" t="str">
        <f>IF($K43="","",IF(O43&lt;&gt;"ตัดบัญชี",0,IF(S43="กทม.",IFERROR(INDEX(Fee_ตรวจรถ_กทม!$D:$D,MATCH(BB43,Fee_ตรวจรถ_กทม!$C:$C,0)),0),IF(S43="ต่างจังหวัด",IFERROR(INDEX(Fee_ตรวจรถ_ตจว!$D:$D,MATCH(L43&amp;"|"&amp;K43,Fee_ตรวจรถ_ตจว!$C:$C,0)),0),0))))</f>
        <v/>
      </c>
      <c r="U43" s="15" t="str">
        <f t="shared" si="12"/>
        <v/>
      </c>
      <c r="V43" s="15" t="str">
        <f>IF($K43="","",IF(U43="รถยนต์",IF(N43="ใช่",INDEX(Fee_รถยนต์_Bill!$B:$B,MATCH("ค่าคำขอ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3" s="15" t="str">
        <f>IF($K43="","",IF(N43="ใช่",IF(U43="รถยนต์",INDEX(Fee_รถยนต์_Bill!$B:$B,MATCH("ค่าธรรมเนียมอื่นๆ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3" s="15" t="str">
        <f>IF($K43="","",IF(U43="รถยนต์",INDEX(Fee_รถยนต์_Bill!$B:$B,MATCH("ค่าตรวจสภาพรถ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3" s="15" t="str">
        <f>IF($K43="","",IF(U43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3" s="15" t="str">
        <f>IF($K43="","",IF(U43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3" s="5"/>
      <c r="AB43" s="5"/>
      <c r="AC43" s="15" t="str">
        <f>IF($K43="","",IF(AB43="เลขประมูล",INDEX(Fee_รถยนต์_Bill!$B:$B,MATCH("ค่าขอใช้เลขทะเบียน - เลขประมูล",Fee_รถยนต์_Bill!$A:$A,0)),IF(AB43="ไม่ใช่เลขประมูล",INDEX(Fee_รถยนต์_Bill!$B:$B,MATCH("ค่าขอใช้เลขทะเบียน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3" s="5"/>
      <c r="AE43" s="15" t="str">
        <f>IF($K43="","",IF(AD43="ป้ายขาวดำ",INDEX(Fee_รถยนต์_Bill!$B:$B,MATCH("ค่าทำแผ่นป้ายทะเบียนใหม่ - ป้ายขาวดำ",Fee_รถยนต์_Bill!$A:$A,0)),IF(AD43="ป้ายประมูล",INDEX(Fee_รถยนต์_Bill!$B:$B,MATCH("ค่าทำแผ่นป้ายทะเบียนใหม่ - ป้ายประมูล",Fee_รถยนต์_Bill!$A:$A,0)),0)))</f>
        <v/>
      </c>
      <c r="AF43" s="5"/>
      <c r="AG43" s="15" t="str">
        <f>IF($K43="","",IF(AF43="ใช่",INDEX(Fee_รถยนต์_Bill!$B:$B,MATCH("ค่าย้ายออกต่างจังหวัด",Fee_รถยนต์_Bill!$A:$A,0)),0))</f>
        <v/>
      </c>
      <c r="AH43" s="15" t="str">
        <f t="shared" si="13"/>
        <v/>
      </c>
      <c r="AI43" s="5"/>
      <c r="AJ43" s="15" t="str">
        <f>IF($K43="","",IF(U43="รถยนต์",IF(AI43="ใช่",INDEX(Fee_รถยนต์_NoBill!$B:$B,MATCH("ค่าอากร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3" s="15" t="str">
        <f>IF($K43="","",IF(U43="รถยนต์",IFERROR(INDEX(Fee_รถยนต์_NoBill!$B:$B,MATCH("ลงขัน - "&amp;K43,Fee_รถยนต์_NoBill!$A:$A,0)),0),IFERROR(INDEX(Fee_จยย_NoBill!$B:$B,MATCH("ลงขัน - รย.12 ทุกประเภท (CC)",Fee_จยย_NoBill!$A:$A,0)),0)))</f>
        <v/>
      </c>
      <c r="AL43" s="5"/>
      <c r="AM43" s="15" t="str">
        <f>IF($K43="","",IF(AL43="ใช่",IF(U43="รถยนต์",INDEX(Fee_รถยนต์_NoBill!$B:$B,MATCH("งานด่วนเพิ่ม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3" s="15" t="str">
        <f t="shared" si="14"/>
        <v/>
      </c>
      <c r="AO43" s="16" t="str">
        <f t="shared" si="15"/>
        <v/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7" t="str">
        <f t="shared" si="16"/>
        <v/>
      </c>
      <c r="BB43" s="7" t="str">
        <f t="shared" si="17"/>
        <v/>
      </c>
    </row>
    <row r="44" spans="1:54" x14ac:dyDescent="0.3">
      <c r="A44" s="15" t="str">
        <f t="shared" si="9"/>
        <v/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15" t="str">
        <f t="shared" si="10"/>
        <v/>
      </c>
      <c r="O44" s="5"/>
      <c r="P44" s="15" t="str">
        <f>IF($K44="","",IF(O44="ตัดบัญชี",IFERROR(INDEX(Fee_ตัดบัญชี!$D:$D,MATCH(BB44,Fee_ตัดบัญชี!$C:$C,0)),0),0))</f>
        <v/>
      </c>
      <c r="Q44" s="15" t="str">
        <f>IF($K44="","",IF(O44="แจ้งย้าย",IFERROR(INDEX(Fee_แจ้งย้าย!$D:$D,MATCH(BB44,Fee_แจ้งย้าย!$C:$C,0)),0),0))</f>
        <v/>
      </c>
      <c r="R44" s="15" t="str">
        <f t="shared" si="11"/>
        <v/>
      </c>
      <c r="S44" s="5"/>
      <c r="T44" s="15" t="str">
        <f>IF($K44="","",IF(O44&lt;&gt;"ตัดบัญชี",0,IF(S44="กทม.",IFERROR(INDEX(Fee_ตรวจรถ_กทม!$D:$D,MATCH(BB44,Fee_ตรวจรถ_กทม!$C:$C,0)),0),IF(S44="ต่างจังหวัด",IFERROR(INDEX(Fee_ตรวจรถ_ตจว!$D:$D,MATCH(L44&amp;"|"&amp;K44,Fee_ตรวจรถ_ตจว!$C:$C,0)),0),0))))</f>
        <v/>
      </c>
      <c r="U44" s="15" t="str">
        <f t="shared" si="12"/>
        <v/>
      </c>
      <c r="V44" s="15" t="str">
        <f>IF($K44="","",IF(U44="รถยนต์",IF(N44="ใช่",INDEX(Fee_รถยนต์_Bill!$B:$B,MATCH("ค่าคำขอ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4" s="15" t="str">
        <f>IF($K44="","",IF(N44="ใช่",IF(U44="รถยนต์",INDEX(Fee_รถยนต์_Bill!$B:$B,MATCH("ค่าธรรมเนียมอื่นๆ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4" s="15" t="str">
        <f>IF($K44="","",IF(U44="รถยนต์",INDEX(Fee_รถยนต์_Bill!$B:$B,MATCH("ค่าตรวจสภาพรถ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4" s="15" t="str">
        <f>IF($K44="","",IF(U44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4" s="15" t="str">
        <f>IF($K44="","",IF(U44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4" s="5"/>
      <c r="AB44" s="5"/>
      <c r="AC44" s="15" t="str">
        <f>IF($K44="","",IF(AB44="เลขประมูล",INDEX(Fee_รถยนต์_Bill!$B:$B,MATCH("ค่าขอใช้เลขทะเบียน - เลขประมูล",Fee_รถยนต์_Bill!$A:$A,0)),IF(AB44="ไม่ใช่เลขประมูล",INDEX(Fee_รถยนต์_Bill!$B:$B,MATCH("ค่าขอใช้เลขทะเบียน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4" s="5"/>
      <c r="AE44" s="15" t="str">
        <f>IF($K44="","",IF(AD44="ป้ายขาวดำ",INDEX(Fee_รถยนต์_Bill!$B:$B,MATCH("ค่าทำแผ่นป้ายทะเบียนใหม่ - ป้ายขาวดำ",Fee_รถยนต์_Bill!$A:$A,0)),IF(AD44="ป้ายประมูล",INDEX(Fee_รถยนต์_Bill!$B:$B,MATCH("ค่าทำแผ่นป้ายทะเบียนใหม่ - ป้ายประมูล",Fee_รถยนต์_Bill!$A:$A,0)),0)))</f>
        <v/>
      </c>
      <c r="AF44" s="5"/>
      <c r="AG44" s="15" t="str">
        <f>IF($K44="","",IF(AF44="ใช่",INDEX(Fee_รถยนต์_Bill!$B:$B,MATCH("ค่าย้ายออกต่างจังหวัด",Fee_รถยนต์_Bill!$A:$A,0)),0))</f>
        <v/>
      </c>
      <c r="AH44" s="15" t="str">
        <f t="shared" si="13"/>
        <v/>
      </c>
      <c r="AI44" s="5"/>
      <c r="AJ44" s="15" t="str">
        <f>IF($K44="","",IF(U44="รถยนต์",IF(AI44="ใช่",INDEX(Fee_รถยนต์_NoBill!$B:$B,MATCH("ค่าอากร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4" s="15" t="str">
        <f>IF($K44="","",IF(U44="รถยนต์",IFERROR(INDEX(Fee_รถยนต์_NoBill!$B:$B,MATCH("ลงขัน - "&amp;K44,Fee_รถยนต์_NoBill!$A:$A,0)),0),IFERROR(INDEX(Fee_จยย_NoBill!$B:$B,MATCH("ลงขัน - รย.12 ทุกประเภท (CC)",Fee_จยย_NoBill!$A:$A,0)),0)))</f>
        <v/>
      </c>
      <c r="AL44" s="5"/>
      <c r="AM44" s="15" t="str">
        <f>IF($K44="","",IF(AL44="ใช่",IF(U44="รถยนต์",INDEX(Fee_รถยนต์_NoBill!$B:$B,MATCH("งานด่วนเพิ่ม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4" s="15" t="str">
        <f t="shared" si="14"/>
        <v/>
      </c>
      <c r="AO44" s="16" t="str">
        <f t="shared" si="15"/>
        <v/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7" t="str">
        <f t="shared" si="16"/>
        <v/>
      </c>
      <c r="BB44" s="7" t="str">
        <f t="shared" si="17"/>
        <v/>
      </c>
    </row>
    <row r="45" spans="1:54" x14ac:dyDescent="0.3">
      <c r="A45" s="15" t="str">
        <f t="shared" si="9"/>
        <v/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15" t="str">
        <f t="shared" si="10"/>
        <v/>
      </c>
      <c r="O45" s="5"/>
      <c r="P45" s="15" t="str">
        <f>IF($K45="","",IF(O45="ตัดบัญชี",IFERROR(INDEX(Fee_ตัดบัญชี!$D:$D,MATCH(BB45,Fee_ตัดบัญชี!$C:$C,0)),0),0))</f>
        <v/>
      </c>
      <c r="Q45" s="15" t="str">
        <f>IF($K45="","",IF(O45="แจ้งย้าย",IFERROR(INDEX(Fee_แจ้งย้าย!$D:$D,MATCH(BB45,Fee_แจ้งย้าย!$C:$C,0)),0),0))</f>
        <v/>
      </c>
      <c r="R45" s="15" t="str">
        <f t="shared" si="11"/>
        <v/>
      </c>
      <c r="S45" s="5"/>
      <c r="T45" s="15" t="str">
        <f>IF($K45="","",IF(O45&lt;&gt;"ตัดบัญชี",0,IF(S45="กทม.",IFERROR(INDEX(Fee_ตรวจรถ_กทม!$D:$D,MATCH(BB45,Fee_ตรวจรถ_กทม!$C:$C,0)),0),IF(S45="ต่างจังหวัด",IFERROR(INDEX(Fee_ตรวจรถ_ตจว!$D:$D,MATCH(L45&amp;"|"&amp;K45,Fee_ตรวจรถ_ตจว!$C:$C,0)),0),0))))</f>
        <v/>
      </c>
      <c r="U45" s="15" t="str">
        <f t="shared" si="12"/>
        <v/>
      </c>
      <c r="V45" s="15" t="str">
        <f>IF($K45="","",IF(U45="รถยนต์",IF(N45="ใช่",INDEX(Fee_รถยนต์_Bill!$B:$B,MATCH("ค่าคำขอ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5" s="15" t="str">
        <f>IF($K45="","",IF(N45="ใช่",IF(U45="รถยนต์",INDEX(Fee_รถยนต์_Bill!$B:$B,MATCH("ค่าธรรมเนียมอื่นๆ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5" s="15" t="str">
        <f>IF($K45="","",IF(U45="รถยนต์",INDEX(Fee_รถยนต์_Bill!$B:$B,MATCH("ค่าตรวจสภาพรถ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5" s="15" t="str">
        <f>IF($K45="","",IF(U45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5" s="15" t="str">
        <f>IF($K45="","",IF(U45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5" s="5"/>
      <c r="AB45" s="5"/>
      <c r="AC45" s="15" t="str">
        <f>IF($K45="","",IF(AB45="เลขประมูล",INDEX(Fee_รถยนต์_Bill!$B:$B,MATCH("ค่าขอใช้เลขทะเบียน - เลขประมูล",Fee_รถยนต์_Bill!$A:$A,0)),IF(AB45="ไม่ใช่เลขประมูล",INDEX(Fee_รถยนต์_Bill!$B:$B,MATCH("ค่าขอใช้เลขทะเบียน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5" s="5"/>
      <c r="AE45" s="15" t="str">
        <f>IF($K45="","",IF(AD45="ป้ายขาวดำ",INDEX(Fee_รถยนต์_Bill!$B:$B,MATCH("ค่าทำแผ่นป้ายทะเบียนใหม่ - ป้ายขาวดำ",Fee_รถยนต์_Bill!$A:$A,0)),IF(AD45="ป้ายประมูล",INDEX(Fee_รถยนต์_Bill!$B:$B,MATCH("ค่าทำแผ่นป้ายทะเบียนใหม่ - ป้ายประมูล",Fee_รถยนต์_Bill!$A:$A,0)),0)))</f>
        <v/>
      </c>
      <c r="AF45" s="5"/>
      <c r="AG45" s="15" t="str">
        <f>IF($K45="","",IF(AF45="ใช่",INDEX(Fee_รถยนต์_Bill!$B:$B,MATCH("ค่าย้ายออกต่างจังหวัด",Fee_รถยนต์_Bill!$A:$A,0)),0))</f>
        <v/>
      </c>
      <c r="AH45" s="15" t="str">
        <f t="shared" si="13"/>
        <v/>
      </c>
      <c r="AI45" s="5"/>
      <c r="AJ45" s="15" t="str">
        <f>IF($K45="","",IF(U45="รถยนต์",IF(AI45="ใช่",INDEX(Fee_รถยนต์_NoBill!$B:$B,MATCH("ค่าอากร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5" s="15" t="str">
        <f>IF($K45="","",IF(U45="รถยนต์",IFERROR(INDEX(Fee_รถยนต์_NoBill!$B:$B,MATCH("ลงขัน - "&amp;K45,Fee_รถยนต์_NoBill!$A:$A,0)),0),IFERROR(INDEX(Fee_จยย_NoBill!$B:$B,MATCH("ลงขัน - รย.12 ทุกประเภท (CC)",Fee_จยย_NoBill!$A:$A,0)),0)))</f>
        <v/>
      </c>
      <c r="AL45" s="5"/>
      <c r="AM45" s="15" t="str">
        <f>IF($K45="","",IF(AL45="ใช่",IF(U45="รถยนต์",INDEX(Fee_รถยนต์_NoBill!$B:$B,MATCH("งานด่วนเพิ่ม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5" s="15" t="str">
        <f t="shared" si="14"/>
        <v/>
      </c>
      <c r="AO45" s="16" t="str">
        <f t="shared" si="15"/>
        <v/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7" t="str">
        <f t="shared" si="16"/>
        <v/>
      </c>
      <c r="BB45" s="7" t="str">
        <f t="shared" si="17"/>
        <v/>
      </c>
    </row>
    <row r="46" spans="1:54" x14ac:dyDescent="0.3">
      <c r="A46" s="15" t="str">
        <f t="shared" si="9"/>
        <v/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15" t="str">
        <f t="shared" si="10"/>
        <v/>
      </c>
      <c r="O46" s="5"/>
      <c r="P46" s="15" t="str">
        <f>IF($K46="","",IF(O46="ตัดบัญชี",IFERROR(INDEX(Fee_ตัดบัญชี!$D:$D,MATCH(BB46,Fee_ตัดบัญชี!$C:$C,0)),0),0))</f>
        <v/>
      </c>
      <c r="Q46" s="15" t="str">
        <f>IF($K46="","",IF(O46="แจ้งย้าย",IFERROR(INDEX(Fee_แจ้งย้าย!$D:$D,MATCH(BB46,Fee_แจ้งย้าย!$C:$C,0)),0),0))</f>
        <v/>
      </c>
      <c r="R46" s="15" t="str">
        <f t="shared" si="11"/>
        <v/>
      </c>
      <c r="S46" s="5"/>
      <c r="T46" s="15" t="str">
        <f>IF($K46="","",IF(O46&lt;&gt;"ตัดบัญชี",0,IF(S46="กทม.",IFERROR(INDEX(Fee_ตรวจรถ_กทม!$D:$D,MATCH(BB46,Fee_ตรวจรถ_กทม!$C:$C,0)),0),IF(S46="ต่างจังหวัด",IFERROR(INDEX(Fee_ตรวจรถ_ตจว!$D:$D,MATCH(L46&amp;"|"&amp;K46,Fee_ตรวจรถ_ตจว!$C:$C,0)),0),0))))</f>
        <v/>
      </c>
      <c r="U46" s="15" t="str">
        <f t="shared" si="12"/>
        <v/>
      </c>
      <c r="V46" s="15" t="str">
        <f>IF($K46="","",IF(U46="รถยนต์",IF(N46="ใช่",INDEX(Fee_รถยนต์_Bill!$B:$B,MATCH("ค่าคำขอ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6" s="15" t="str">
        <f>IF($K46="","",IF(N46="ใช่",IF(U46="รถยนต์",INDEX(Fee_รถยนต์_Bill!$B:$B,MATCH("ค่าธรรมเนียมอื่นๆ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6" s="15" t="str">
        <f>IF($K46="","",IF(U46="รถยนต์",INDEX(Fee_รถยนต์_Bill!$B:$B,MATCH("ค่าตรวจสภาพรถ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6" s="15" t="str">
        <f>IF($K46="","",IF(U46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6" s="15" t="str">
        <f>IF($K46="","",IF(U46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6" s="5"/>
      <c r="AB46" s="5"/>
      <c r="AC46" s="15" t="str">
        <f>IF($K46="","",IF(AB46="เลขประมูล",INDEX(Fee_รถยนต์_Bill!$B:$B,MATCH("ค่าขอใช้เลขทะเบียน - เลขประมูล",Fee_รถยนต์_Bill!$A:$A,0)),IF(AB46="ไม่ใช่เลขประมูล",INDEX(Fee_รถยนต์_Bill!$B:$B,MATCH("ค่าขอใช้เลขทะเบียน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6" s="5"/>
      <c r="AE46" s="15" t="str">
        <f>IF($K46="","",IF(AD46="ป้ายขาวดำ",INDEX(Fee_รถยนต์_Bill!$B:$B,MATCH("ค่าทำแผ่นป้ายทะเบียนใหม่ - ป้ายขาวดำ",Fee_รถยนต์_Bill!$A:$A,0)),IF(AD46="ป้ายประมูล",INDEX(Fee_รถยนต์_Bill!$B:$B,MATCH("ค่าทำแผ่นป้ายทะเบียนใหม่ - ป้ายประมูล",Fee_รถยนต์_Bill!$A:$A,0)),0)))</f>
        <v/>
      </c>
      <c r="AF46" s="5"/>
      <c r="AG46" s="15" t="str">
        <f>IF($K46="","",IF(AF46="ใช่",INDEX(Fee_รถยนต์_Bill!$B:$B,MATCH("ค่าย้ายออกต่างจังหวัด",Fee_รถยนต์_Bill!$A:$A,0)),0))</f>
        <v/>
      </c>
      <c r="AH46" s="15" t="str">
        <f t="shared" si="13"/>
        <v/>
      </c>
      <c r="AI46" s="5"/>
      <c r="AJ46" s="15" t="str">
        <f>IF($K46="","",IF(U46="รถยนต์",IF(AI46="ใช่",INDEX(Fee_รถยนต์_NoBill!$B:$B,MATCH("ค่าอากร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6" s="15" t="str">
        <f>IF($K46="","",IF(U46="รถยนต์",IFERROR(INDEX(Fee_รถยนต์_NoBill!$B:$B,MATCH("ลงขัน - "&amp;K46,Fee_รถยนต์_NoBill!$A:$A,0)),0),IFERROR(INDEX(Fee_จยย_NoBill!$B:$B,MATCH("ลงขัน - รย.12 ทุกประเภท (CC)",Fee_จยย_NoBill!$A:$A,0)),0)))</f>
        <v/>
      </c>
      <c r="AL46" s="5"/>
      <c r="AM46" s="15" t="str">
        <f>IF($K46="","",IF(AL46="ใช่",IF(U46="รถยนต์",INDEX(Fee_รถยนต์_NoBill!$B:$B,MATCH("งานด่วนเพิ่ม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6" s="15" t="str">
        <f t="shared" si="14"/>
        <v/>
      </c>
      <c r="AO46" s="16" t="str">
        <f t="shared" si="15"/>
        <v/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7" t="str">
        <f t="shared" si="16"/>
        <v/>
      </c>
      <c r="BB46" s="7" t="str">
        <f t="shared" si="17"/>
        <v/>
      </c>
    </row>
    <row r="47" spans="1:54" x14ac:dyDescent="0.3">
      <c r="A47" s="15" t="str">
        <f t="shared" si="9"/>
        <v/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15" t="str">
        <f t="shared" si="10"/>
        <v/>
      </c>
      <c r="O47" s="5"/>
      <c r="P47" s="15" t="str">
        <f>IF($K47="","",IF(O47="ตัดบัญชี",IFERROR(INDEX(Fee_ตัดบัญชี!$D:$D,MATCH(BB47,Fee_ตัดบัญชี!$C:$C,0)),0),0))</f>
        <v/>
      </c>
      <c r="Q47" s="15" t="str">
        <f>IF($K47="","",IF(O47="แจ้งย้าย",IFERROR(INDEX(Fee_แจ้งย้าย!$D:$D,MATCH(BB47,Fee_แจ้งย้าย!$C:$C,0)),0),0))</f>
        <v/>
      </c>
      <c r="R47" s="15" t="str">
        <f t="shared" si="11"/>
        <v/>
      </c>
      <c r="S47" s="5"/>
      <c r="T47" s="15" t="str">
        <f>IF($K47="","",IF(O47&lt;&gt;"ตัดบัญชี",0,IF(S47="กทม.",IFERROR(INDEX(Fee_ตรวจรถ_กทม!$D:$D,MATCH(BB47,Fee_ตรวจรถ_กทม!$C:$C,0)),0),IF(S47="ต่างจังหวัด",IFERROR(INDEX(Fee_ตรวจรถ_ตจว!$D:$D,MATCH(L47&amp;"|"&amp;K47,Fee_ตรวจรถ_ตจว!$C:$C,0)),0),0))))</f>
        <v/>
      </c>
      <c r="U47" s="15" t="str">
        <f t="shared" si="12"/>
        <v/>
      </c>
      <c r="V47" s="15" t="str">
        <f>IF($K47="","",IF(U47="รถยนต์",IF(N47="ใช่",INDEX(Fee_รถยนต์_Bill!$B:$B,MATCH("ค่าคำขอ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7" s="15" t="str">
        <f>IF($K47="","",IF(N47="ใช่",IF(U47="รถยนต์",INDEX(Fee_รถยนต์_Bill!$B:$B,MATCH("ค่าธรรมเนียมอื่นๆ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7" s="15" t="str">
        <f>IF($K47="","",IF(U47="รถยนต์",INDEX(Fee_รถยนต์_Bill!$B:$B,MATCH("ค่าตรวจสภาพรถ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7" s="15" t="str">
        <f>IF($K47="","",IF(U47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7" s="15" t="str">
        <f>IF($K47="","",IF(U47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7" s="5"/>
      <c r="AB47" s="5"/>
      <c r="AC47" s="15" t="str">
        <f>IF($K47="","",IF(AB47="เลขประมูล",INDEX(Fee_รถยนต์_Bill!$B:$B,MATCH("ค่าขอใช้เลขทะเบียน - เลขประมูล",Fee_รถยนต์_Bill!$A:$A,0)),IF(AB47="ไม่ใช่เลขประมูล",INDEX(Fee_รถยนต์_Bill!$B:$B,MATCH("ค่าขอใช้เลขทะเบียน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7" s="5"/>
      <c r="AE47" s="15" t="str">
        <f>IF($K47="","",IF(AD47="ป้ายขาวดำ",INDEX(Fee_รถยนต์_Bill!$B:$B,MATCH("ค่าทำแผ่นป้ายทะเบียนใหม่ - ป้ายขาวดำ",Fee_รถยนต์_Bill!$A:$A,0)),IF(AD47="ป้ายประมูล",INDEX(Fee_รถยนต์_Bill!$B:$B,MATCH("ค่าทำแผ่นป้ายทะเบียนใหม่ - ป้ายประมูล",Fee_รถยนต์_Bill!$A:$A,0)),0)))</f>
        <v/>
      </c>
      <c r="AF47" s="5"/>
      <c r="AG47" s="15" t="str">
        <f>IF($K47="","",IF(AF47="ใช่",INDEX(Fee_รถยนต์_Bill!$B:$B,MATCH("ค่าย้ายออกต่างจังหวัด",Fee_รถยนต์_Bill!$A:$A,0)),0))</f>
        <v/>
      </c>
      <c r="AH47" s="15" t="str">
        <f t="shared" si="13"/>
        <v/>
      </c>
      <c r="AI47" s="5"/>
      <c r="AJ47" s="15" t="str">
        <f>IF($K47="","",IF(U47="รถยนต์",IF(AI47="ใช่",INDEX(Fee_รถยนต์_NoBill!$B:$B,MATCH("ค่าอากร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7" s="15" t="str">
        <f>IF($K47="","",IF(U47="รถยนต์",IFERROR(INDEX(Fee_รถยนต์_NoBill!$B:$B,MATCH("ลงขัน - "&amp;K47,Fee_รถยนต์_NoBill!$A:$A,0)),0),IFERROR(INDEX(Fee_จยย_NoBill!$B:$B,MATCH("ลงขัน - รย.12 ทุกประเภท (CC)",Fee_จยย_NoBill!$A:$A,0)),0)))</f>
        <v/>
      </c>
      <c r="AL47" s="5"/>
      <c r="AM47" s="15" t="str">
        <f>IF($K47="","",IF(AL47="ใช่",IF(U47="รถยนต์",INDEX(Fee_รถยนต์_NoBill!$B:$B,MATCH("งานด่วนเพิ่ม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7" s="15" t="str">
        <f t="shared" si="14"/>
        <v/>
      </c>
      <c r="AO47" s="16" t="str">
        <f t="shared" si="15"/>
        <v/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7" t="str">
        <f t="shared" si="16"/>
        <v/>
      </c>
      <c r="BB47" s="7" t="str">
        <f t="shared" si="17"/>
        <v/>
      </c>
    </row>
    <row r="48" spans="1:54" x14ac:dyDescent="0.3">
      <c r="A48" s="15" t="str">
        <f t="shared" si="9"/>
        <v/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15" t="str">
        <f t="shared" si="10"/>
        <v/>
      </c>
      <c r="O48" s="5"/>
      <c r="P48" s="15" t="str">
        <f>IF($K48="","",IF(O48="ตัดบัญชี",IFERROR(INDEX(Fee_ตัดบัญชี!$D:$D,MATCH(BB48,Fee_ตัดบัญชี!$C:$C,0)),0),0))</f>
        <v/>
      </c>
      <c r="Q48" s="15" t="str">
        <f>IF($K48="","",IF(O48="แจ้งย้าย",IFERROR(INDEX(Fee_แจ้งย้าย!$D:$D,MATCH(BB48,Fee_แจ้งย้าย!$C:$C,0)),0),0))</f>
        <v/>
      </c>
      <c r="R48" s="15" t="str">
        <f t="shared" si="11"/>
        <v/>
      </c>
      <c r="S48" s="5"/>
      <c r="T48" s="15" t="str">
        <f>IF($K48="","",IF(O48&lt;&gt;"ตัดบัญชี",0,IF(S48="กทม.",IFERROR(INDEX(Fee_ตรวจรถ_กทม!$D:$D,MATCH(BB48,Fee_ตรวจรถ_กทม!$C:$C,0)),0),IF(S48="ต่างจังหวัด",IFERROR(INDEX(Fee_ตรวจรถ_ตจว!$D:$D,MATCH(L48&amp;"|"&amp;K48,Fee_ตรวจรถ_ตจว!$C:$C,0)),0),0))))</f>
        <v/>
      </c>
      <c r="U48" s="15" t="str">
        <f t="shared" si="12"/>
        <v/>
      </c>
      <c r="V48" s="15" t="str">
        <f>IF($K48="","",IF(U48="รถยนต์",IF(N48="ใช่",INDEX(Fee_รถยนต์_Bill!$B:$B,MATCH("ค่าคำขอ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8" s="15" t="str">
        <f>IF($K48="","",IF(N48="ใช่",IF(U48="รถยนต์",INDEX(Fee_รถยนต์_Bill!$B:$B,MATCH("ค่าธรรมเนียมอื่นๆ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8" s="15" t="str">
        <f>IF($K48="","",IF(U48="รถยนต์",INDEX(Fee_รถยนต์_Bill!$B:$B,MATCH("ค่าตรวจสภาพรถ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8" s="15" t="str">
        <f>IF($K48="","",IF(U48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8" s="15" t="str">
        <f>IF($K48="","",IF(U48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8" s="5"/>
      <c r="AB48" s="5"/>
      <c r="AC48" s="15" t="str">
        <f>IF($K48="","",IF(AB48="เลขประมูล",INDEX(Fee_รถยนต์_Bill!$B:$B,MATCH("ค่าขอใช้เลขทะเบียน - เลขประมูล",Fee_รถยนต์_Bill!$A:$A,0)),IF(AB48="ไม่ใช่เลขประมูล",INDEX(Fee_รถยนต์_Bill!$B:$B,MATCH("ค่าขอใช้เลขทะเบียน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8" s="5"/>
      <c r="AE48" s="15" t="str">
        <f>IF($K48="","",IF(AD48="ป้ายขาวดำ",INDEX(Fee_รถยนต์_Bill!$B:$B,MATCH("ค่าทำแผ่นป้ายทะเบียนใหม่ - ป้ายขาวดำ",Fee_รถยนต์_Bill!$A:$A,0)),IF(AD48="ป้ายประมูล",INDEX(Fee_รถยนต์_Bill!$B:$B,MATCH("ค่าทำแผ่นป้ายทะเบียนใหม่ - ป้ายประมูล",Fee_รถยนต์_Bill!$A:$A,0)),0)))</f>
        <v/>
      </c>
      <c r="AF48" s="5"/>
      <c r="AG48" s="15" t="str">
        <f>IF($K48="","",IF(AF48="ใช่",INDEX(Fee_รถยนต์_Bill!$B:$B,MATCH("ค่าย้ายออกต่างจังหวัด",Fee_รถยนต์_Bill!$A:$A,0)),0))</f>
        <v/>
      </c>
      <c r="AH48" s="15" t="str">
        <f t="shared" si="13"/>
        <v/>
      </c>
      <c r="AI48" s="5"/>
      <c r="AJ48" s="15" t="str">
        <f>IF($K48="","",IF(U48="รถยนต์",IF(AI48="ใช่",INDEX(Fee_รถยนต์_NoBill!$B:$B,MATCH("ค่าอากร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8" s="15" t="str">
        <f>IF($K48="","",IF(U48="รถยนต์",IFERROR(INDEX(Fee_รถยนต์_NoBill!$B:$B,MATCH("ลงขัน - "&amp;K48,Fee_รถยนต์_NoBill!$A:$A,0)),0),IFERROR(INDEX(Fee_จยย_NoBill!$B:$B,MATCH("ลงขัน - รย.12 ทุกประเภท (CC)",Fee_จยย_NoBill!$A:$A,0)),0)))</f>
        <v/>
      </c>
      <c r="AL48" s="5"/>
      <c r="AM48" s="15" t="str">
        <f>IF($K48="","",IF(AL48="ใช่",IF(U48="รถยนต์",INDEX(Fee_รถยนต์_NoBill!$B:$B,MATCH("งานด่วนเพิ่ม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8" s="15" t="str">
        <f t="shared" si="14"/>
        <v/>
      </c>
      <c r="AO48" s="16" t="str">
        <f t="shared" si="15"/>
        <v/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7" t="str">
        <f t="shared" si="16"/>
        <v/>
      </c>
      <c r="BB48" s="7" t="str">
        <f t="shared" si="17"/>
        <v/>
      </c>
    </row>
    <row r="49" spans="1:54" x14ac:dyDescent="0.3">
      <c r="A49" s="15" t="str">
        <f t="shared" si="9"/>
        <v/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15" t="str">
        <f t="shared" si="10"/>
        <v/>
      </c>
      <c r="O49" s="5"/>
      <c r="P49" s="15" t="str">
        <f>IF($K49="","",IF(O49="ตัดบัญชี",IFERROR(INDEX(Fee_ตัดบัญชี!$D:$D,MATCH(BB49,Fee_ตัดบัญชี!$C:$C,0)),0),0))</f>
        <v/>
      </c>
      <c r="Q49" s="15" t="str">
        <f>IF($K49="","",IF(O49="แจ้งย้าย",IFERROR(INDEX(Fee_แจ้งย้าย!$D:$D,MATCH(BB49,Fee_แจ้งย้าย!$C:$C,0)),0),0))</f>
        <v/>
      </c>
      <c r="R49" s="15" t="str">
        <f t="shared" si="11"/>
        <v/>
      </c>
      <c r="S49" s="5"/>
      <c r="T49" s="15" t="str">
        <f>IF($K49="","",IF(O49&lt;&gt;"ตัดบัญชี",0,IF(S49="กทม.",IFERROR(INDEX(Fee_ตรวจรถ_กทม!$D:$D,MATCH(BB49,Fee_ตรวจรถ_กทม!$C:$C,0)),0),IF(S49="ต่างจังหวัด",IFERROR(INDEX(Fee_ตรวจรถ_ตจว!$D:$D,MATCH(L49&amp;"|"&amp;K49,Fee_ตรวจรถ_ตจว!$C:$C,0)),0),0))))</f>
        <v/>
      </c>
      <c r="U49" s="15" t="str">
        <f t="shared" si="12"/>
        <v/>
      </c>
      <c r="V49" s="15" t="str">
        <f>IF($K49="","",IF(U49="รถยนต์",IF(N49="ใช่",INDEX(Fee_รถยนต์_Bill!$B:$B,MATCH("ค่าคำขอ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(ปกติ)",Fee_รถยนต์_Bill!$A:$A,0))),IF(N49="ใช่",INDEX(Fee_จยย_Bill!$B:$B,MATCH("ค่าคำขอ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49" s="15" t="str">
        <f>IF($K49="","",IF(N49="ใช่",IF(U49="รถยนต์",INDEX(Fee_รถยนต์_Bill!$B:$B,MATCH("ค่าธรรมเนียมอื่นๆ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49" s="15" t="str">
        <f>IF($K49="","",IF(U49="รถยนต์",INDEX(Fee_รถยนต์_Bill!$B:$B,MATCH("ค่าตรวจสภาพรถ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49" s="15" t="str">
        <f>IF($K49="","",IF(U49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49" s="15" t="str">
        <f>IF($K49="","",IF(U49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49" s="5"/>
      <c r="AB49" s="5"/>
      <c r="AC49" s="15" t="str">
        <f>IF($K49="","",IF(AB49="เลขประมูล",INDEX(Fee_รถยนต์_Bill!$B:$B,MATCH("ค่าขอใช้เลขทะเบียน - เลขประมูล",Fee_รถยนต์_Bill!$A:$A,0)),IF(AB49="ไม่ใช่เลขประมูล",INDEX(Fee_รถยนต์_Bill!$B:$B,MATCH("ค่าขอใช้เลขทะเบียน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49" s="5"/>
      <c r="AE49" s="15" t="str">
        <f>IF($K49="","",IF(AD49="ป้ายขาวดำ",INDEX(Fee_รถยนต์_Bill!$B:$B,MATCH("ค่าทำแผ่นป้ายทะเบียนใหม่ - ป้ายขาวดำ",Fee_รถยนต์_Bill!$A:$A,0)),IF(AD49="ป้ายประมูล",INDEX(Fee_รถยนต์_Bill!$B:$B,MATCH("ค่าทำแผ่นป้ายทะเบียนใหม่ - ป้ายประมูล",Fee_รถยนต์_Bill!$A:$A,0)),0)))</f>
        <v/>
      </c>
      <c r="AF49" s="5"/>
      <c r="AG49" s="15" t="str">
        <f>IF($K49="","",IF(AF49="ใช่",INDEX(Fee_รถยนต์_Bill!$B:$B,MATCH("ค่าย้ายออกต่างจังหวัด",Fee_รถยนต์_Bill!$A:$A,0)),0))</f>
        <v/>
      </c>
      <c r="AH49" s="15" t="str">
        <f t="shared" si="13"/>
        <v/>
      </c>
      <c r="AI49" s="5"/>
      <c r="AJ49" s="15" t="str">
        <f>IF($K49="","",IF(U49="รถยนต์",IF(AI49="ใช่",INDEX(Fee_รถยนต์_NoBill!$B:$B,MATCH("ค่าอากร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(ปกติ)",Fee_รถยนต์_NoBill!$A:$A,0))),IF(AI49="ใช่",INDEX(Fee_จยย_NoBill!$B:$B,MATCH("ค่าอากร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49" s="15" t="str">
        <f>IF($K49="","",IF(U49="รถยนต์",IFERROR(INDEX(Fee_รถยนต์_NoBill!$B:$B,MATCH("ลงขัน - "&amp;K49,Fee_รถยนต์_NoBill!$A:$A,0)),0),IFERROR(INDEX(Fee_จยย_NoBill!$B:$B,MATCH("ลงขัน - รย.12 ทุกประเภท (CC)",Fee_จยย_NoBill!$A:$A,0)),0)))</f>
        <v/>
      </c>
      <c r="AL49" s="5"/>
      <c r="AM49" s="15" t="str">
        <f>IF($K49="","",IF(AL49="ใช่",IF(U49="รถยนต์",INDEX(Fee_รถยนต์_NoBill!$B:$B,MATCH("งานด่วนเพิ่ม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49" s="15" t="str">
        <f t="shared" si="14"/>
        <v/>
      </c>
      <c r="AO49" s="16" t="str">
        <f t="shared" si="15"/>
        <v/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7" t="str">
        <f t="shared" si="16"/>
        <v/>
      </c>
      <c r="BB49" s="7" t="str">
        <f t="shared" si="17"/>
        <v/>
      </c>
    </row>
    <row r="50" spans="1:54" x14ac:dyDescent="0.3">
      <c r="A50" s="15" t="str">
        <f t="shared" si="9"/>
        <v/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15" t="str">
        <f t="shared" si="10"/>
        <v/>
      </c>
      <c r="O50" s="5"/>
      <c r="P50" s="15" t="str">
        <f>IF($K50="","",IF(O50="ตัดบัญชี",IFERROR(INDEX(Fee_ตัดบัญชี!$D:$D,MATCH(BB50,Fee_ตัดบัญชี!$C:$C,0)),0),0))</f>
        <v/>
      </c>
      <c r="Q50" s="15" t="str">
        <f>IF($K50="","",IF(O50="แจ้งย้าย",IFERROR(INDEX(Fee_แจ้งย้าย!$D:$D,MATCH(BB50,Fee_แจ้งย้าย!$C:$C,0)),0),0))</f>
        <v/>
      </c>
      <c r="R50" s="15" t="str">
        <f t="shared" si="11"/>
        <v/>
      </c>
      <c r="S50" s="5"/>
      <c r="T50" s="15" t="str">
        <f>IF($K50="","",IF(O50&lt;&gt;"ตัดบัญชี",0,IF(S50="กทม.",IFERROR(INDEX(Fee_ตรวจรถ_กทม!$D:$D,MATCH(BB50,Fee_ตรวจรถ_กทม!$C:$C,0)),0),IF(S50="ต่างจังหวัด",IFERROR(INDEX(Fee_ตรวจรถ_ตจว!$D:$D,MATCH(L50&amp;"|"&amp;K50,Fee_ตรวจรถ_ตจว!$C:$C,0)),0),0))))</f>
        <v/>
      </c>
      <c r="U50" s="15" t="str">
        <f t="shared" si="12"/>
        <v/>
      </c>
      <c r="V50" s="15" t="str">
        <f>IF($K50="","",IF(U50="รถยนต์",IF(N50="ใช่",INDEX(Fee_รถยนต์_Bill!$B:$B,MATCH("ค่าคำขอ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0" s="15" t="str">
        <f>IF($K50="","",IF(N50="ใช่",IF(U50="รถยนต์",INDEX(Fee_รถยนต์_Bill!$B:$B,MATCH("ค่าธรรมเนียมอื่นๆ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0" s="15" t="str">
        <f>IF($K50="","",IF(U50="รถยนต์",INDEX(Fee_รถยนต์_Bill!$B:$B,MATCH("ค่าตรวจสภาพรถ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0" s="15" t="str">
        <f>IF($K50="","",IF(U50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0" s="15" t="str">
        <f>IF($K50="","",IF(U50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0" s="5"/>
      <c r="AB50" s="5"/>
      <c r="AC50" s="15" t="str">
        <f>IF($K50="","",IF(AB50="เลขประมูล",INDEX(Fee_รถยนต์_Bill!$B:$B,MATCH("ค่าขอใช้เลขทะเบียน - เลขประมูล",Fee_รถยนต์_Bill!$A:$A,0)),IF(AB50="ไม่ใช่เลขประมูล",INDEX(Fee_รถยนต์_Bill!$B:$B,MATCH("ค่าขอใช้เลขทะเบียน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0" s="5"/>
      <c r="AE50" s="15" t="str">
        <f>IF($K50="","",IF(AD50="ป้ายขาวดำ",INDEX(Fee_รถยนต์_Bill!$B:$B,MATCH("ค่าทำแผ่นป้ายทะเบียนใหม่ - ป้ายขาวดำ",Fee_รถยนต์_Bill!$A:$A,0)),IF(AD50="ป้ายประมูล",INDEX(Fee_รถยนต์_Bill!$B:$B,MATCH("ค่าทำแผ่นป้ายทะเบียนใหม่ - ป้ายประมูล",Fee_รถยนต์_Bill!$A:$A,0)),0)))</f>
        <v/>
      </c>
      <c r="AF50" s="5"/>
      <c r="AG50" s="15" t="str">
        <f>IF($K50="","",IF(AF50="ใช่",INDEX(Fee_รถยนต์_Bill!$B:$B,MATCH("ค่าย้ายออกต่างจังหวัด",Fee_รถยนต์_Bill!$A:$A,0)),0))</f>
        <v/>
      </c>
      <c r="AH50" s="15" t="str">
        <f t="shared" si="13"/>
        <v/>
      </c>
      <c r="AI50" s="5"/>
      <c r="AJ50" s="15" t="str">
        <f>IF($K50="","",IF(U50="รถยนต์",IF(AI50="ใช่",INDEX(Fee_รถยนต์_NoBill!$B:$B,MATCH("ค่าอากร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0" s="15" t="str">
        <f>IF($K50="","",IF(U50="รถยนต์",IFERROR(INDEX(Fee_รถยนต์_NoBill!$B:$B,MATCH("ลงขัน - "&amp;K50,Fee_รถยนต์_NoBill!$A:$A,0)),0),IFERROR(INDEX(Fee_จยย_NoBill!$B:$B,MATCH("ลงขัน - รย.12 ทุกประเภท (CC)",Fee_จยย_NoBill!$A:$A,0)),0)))</f>
        <v/>
      </c>
      <c r="AL50" s="5"/>
      <c r="AM50" s="15" t="str">
        <f>IF($K50="","",IF(AL50="ใช่",IF(U50="รถยนต์",INDEX(Fee_รถยนต์_NoBill!$B:$B,MATCH("งานด่วนเพิ่ม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0" s="15" t="str">
        <f t="shared" si="14"/>
        <v/>
      </c>
      <c r="AO50" s="16" t="str">
        <f t="shared" si="15"/>
        <v/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7" t="str">
        <f t="shared" si="16"/>
        <v/>
      </c>
      <c r="BB50" s="7" t="str">
        <f t="shared" si="17"/>
        <v/>
      </c>
    </row>
    <row r="51" spans="1:54" x14ac:dyDescent="0.3">
      <c r="A51" s="15" t="str">
        <f t="shared" si="9"/>
        <v/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15" t="str">
        <f t="shared" si="10"/>
        <v/>
      </c>
      <c r="O51" s="5"/>
      <c r="P51" s="15" t="str">
        <f>IF($K51="","",IF(O51="ตัดบัญชี",IFERROR(INDEX(Fee_ตัดบัญชี!$D:$D,MATCH(BB51,Fee_ตัดบัญชี!$C:$C,0)),0),0))</f>
        <v/>
      </c>
      <c r="Q51" s="15" t="str">
        <f>IF($K51="","",IF(O51="แจ้งย้าย",IFERROR(INDEX(Fee_แจ้งย้าย!$D:$D,MATCH(BB51,Fee_แจ้งย้าย!$C:$C,0)),0),0))</f>
        <v/>
      </c>
      <c r="R51" s="15" t="str">
        <f t="shared" si="11"/>
        <v/>
      </c>
      <c r="S51" s="5"/>
      <c r="T51" s="15" t="str">
        <f>IF($K51="","",IF(O51&lt;&gt;"ตัดบัญชี",0,IF(S51="กทม.",IFERROR(INDEX(Fee_ตรวจรถ_กทม!$D:$D,MATCH(BB51,Fee_ตรวจรถ_กทม!$C:$C,0)),0),IF(S51="ต่างจังหวัด",IFERROR(INDEX(Fee_ตรวจรถ_ตจว!$D:$D,MATCH(L51&amp;"|"&amp;K51,Fee_ตรวจรถ_ตจว!$C:$C,0)),0),0))))</f>
        <v/>
      </c>
      <c r="U51" s="15" t="str">
        <f t="shared" si="12"/>
        <v/>
      </c>
      <c r="V51" s="15" t="str">
        <f>IF($K51="","",IF(U51="รถยนต์",IF(N51="ใช่",INDEX(Fee_รถยนต์_Bill!$B:$B,MATCH("ค่าคำขอ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1" s="15" t="str">
        <f>IF($K51="","",IF(N51="ใช่",IF(U51="รถยนต์",INDEX(Fee_รถยนต์_Bill!$B:$B,MATCH("ค่าธรรมเนียมอื่นๆ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1" s="15" t="str">
        <f>IF($K51="","",IF(U51="รถยนต์",INDEX(Fee_รถยนต์_Bill!$B:$B,MATCH("ค่าตรวจสภาพรถ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1" s="15" t="str">
        <f>IF($K51="","",IF(U51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1" s="15" t="str">
        <f>IF($K51="","",IF(U51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1" s="5"/>
      <c r="AB51" s="5"/>
      <c r="AC51" s="15" t="str">
        <f>IF($K51="","",IF(AB51="เลขประมูล",INDEX(Fee_รถยนต์_Bill!$B:$B,MATCH("ค่าขอใช้เลขทะเบียน - เลขประมูล",Fee_รถยนต์_Bill!$A:$A,0)),IF(AB51="ไม่ใช่เลขประมูล",INDEX(Fee_รถยนต์_Bill!$B:$B,MATCH("ค่าขอใช้เลขทะเบียน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1" s="5"/>
      <c r="AE51" s="15" t="str">
        <f>IF($K51="","",IF(AD51="ป้ายขาวดำ",INDEX(Fee_รถยนต์_Bill!$B:$B,MATCH("ค่าทำแผ่นป้ายทะเบียนใหม่ - ป้ายขาวดำ",Fee_รถยนต์_Bill!$A:$A,0)),IF(AD51="ป้ายประมูล",INDEX(Fee_รถยนต์_Bill!$B:$B,MATCH("ค่าทำแผ่นป้ายทะเบียนใหม่ - ป้ายประมูล",Fee_รถยนต์_Bill!$A:$A,0)),0)))</f>
        <v/>
      </c>
      <c r="AF51" s="5"/>
      <c r="AG51" s="15" t="str">
        <f>IF($K51="","",IF(AF51="ใช่",INDEX(Fee_รถยนต์_Bill!$B:$B,MATCH("ค่าย้ายออกต่างจังหวัด",Fee_รถยนต์_Bill!$A:$A,0)),0))</f>
        <v/>
      </c>
      <c r="AH51" s="15" t="str">
        <f t="shared" si="13"/>
        <v/>
      </c>
      <c r="AI51" s="5"/>
      <c r="AJ51" s="15" t="str">
        <f>IF($K51="","",IF(U51="รถยนต์",IF(AI51="ใช่",INDEX(Fee_รถยนต์_NoBill!$B:$B,MATCH("ค่าอากร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1" s="15" t="str">
        <f>IF($K51="","",IF(U51="รถยนต์",IFERROR(INDEX(Fee_รถยนต์_NoBill!$B:$B,MATCH("ลงขัน - "&amp;K51,Fee_รถยนต์_NoBill!$A:$A,0)),0),IFERROR(INDEX(Fee_จยย_NoBill!$B:$B,MATCH("ลงขัน - รย.12 ทุกประเภท (CC)",Fee_จยย_NoBill!$A:$A,0)),0)))</f>
        <v/>
      </c>
      <c r="AL51" s="5"/>
      <c r="AM51" s="15" t="str">
        <f>IF($K51="","",IF(AL51="ใช่",IF(U51="รถยนต์",INDEX(Fee_รถยนต์_NoBill!$B:$B,MATCH("งานด่วนเพิ่ม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1" s="15" t="str">
        <f t="shared" si="14"/>
        <v/>
      </c>
      <c r="AO51" s="16" t="str">
        <f t="shared" si="15"/>
        <v/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7" t="str">
        <f t="shared" si="16"/>
        <v/>
      </c>
      <c r="BB51" s="7" t="str">
        <f t="shared" si="17"/>
        <v/>
      </c>
    </row>
    <row r="52" spans="1:54" x14ac:dyDescent="0.3">
      <c r="A52" s="15" t="str">
        <f t="shared" si="9"/>
        <v/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15" t="str">
        <f t="shared" si="10"/>
        <v/>
      </c>
      <c r="O52" s="5"/>
      <c r="P52" s="15" t="str">
        <f>IF($K52="","",IF(O52="ตัดบัญชี",IFERROR(INDEX(Fee_ตัดบัญชี!$D:$D,MATCH(BB52,Fee_ตัดบัญชี!$C:$C,0)),0),0))</f>
        <v/>
      </c>
      <c r="Q52" s="15" t="str">
        <f>IF($K52="","",IF(O52="แจ้งย้าย",IFERROR(INDEX(Fee_แจ้งย้าย!$D:$D,MATCH(BB52,Fee_แจ้งย้าย!$C:$C,0)),0),0))</f>
        <v/>
      </c>
      <c r="R52" s="15" t="str">
        <f t="shared" si="11"/>
        <v/>
      </c>
      <c r="S52" s="5"/>
      <c r="T52" s="15" t="str">
        <f>IF($K52="","",IF(O52&lt;&gt;"ตัดบัญชี",0,IF(S52="กทม.",IFERROR(INDEX(Fee_ตรวจรถ_กทม!$D:$D,MATCH(BB52,Fee_ตรวจรถ_กทม!$C:$C,0)),0),IF(S52="ต่างจังหวัด",IFERROR(INDEX(Fee_ตรวจรถ_ตจว!$D:$D,MATCH(L52&amp;"|"&amp;K52,Fee_ตรวจรถ_ตจว!$C:$C,0)),0),0))))</f>
        <v/>
      </c>
      <c r="U52" s="15" t="str">
        <f t="shared" si="12"/>
        <v/>
      </c>
      <c r="V52" s="15" t="str">
        <f>IF($K52="","",IF(U52="รถยนต์",IF(N52="ใช่",INDEX(Fee_รถยนต์_Bill!$B:$B,MATCH("ค่าคำขอ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(ปกติ)",Fee_รถยนต์_Bill!$A:$A,0))),IF(N52="ใช่",INDEX(Fee_จยย_Bill!$B:$B,MATCH("ค่าคำขอ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2" s="15" t="str">
        <f>IF($K52="","",IF(N52="ใช่",IF(U52="รถยนต์",INDEX(Fee_รถยนต์_Bill!$B:$B,MATCH("ค่าธรรมเนียมอื่นๆ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2" s="15" t="str">
        <f>IF($K52="","",IF(U52="รถยนต์",INDEX(Fee_รถยนต์_Bill!$B:$B,MATCH("ค่าตรวจสภาพรถ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2" s="15" t="str">
        <f>IF($K52="","",IF(U52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2" s="15" t="str">
        <f>IF($K52="","",IF(U52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2" s="5"/>
      <c r="AB52" s="5"/>
      <c r="AC52" s="15" t="str">
        <f>IF($K52="","",IF(AB52="เลขประมูล",INDEX(Fee_รถยนต์_Bill!$B:$B,MATCH("ค่าขอใช้เลขทะเบียน - เลขประมูล",Fee_รถยนต์_Bill!$A:$A,0)),IF(AB52="ไม่ใช่เลขประมูล",INDEX(Fee_รถยนต์_Bill!$B:$B,MATCH("ค่าขอใช้เลขทะเบียน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2" s="5"/>
      <c r="AE52" s="15" t="str">
        <f>IF($K52="","",IF(AD52="ป้ายขาวดำ",INDEX(Fee_รถยนต์_Bill!$B:$B,MATCH("ค่าทำแผ่นป้ายทะเบียนใหม่ - ป้ายขาวดำ",Fee_รถยนต์_Bill!$A:$A,0)),IF(AD52="ป้ายประมูล",INDEX(Fee_รถยนต์_Bill!$B:$B,MATCH("ค่าทำแผ่นป้ายทะเบียนใหม่ - ป้ายประมูล",Fee_รถยนต์_Bill!$A:$A,0)),0)))</f>
        <v/>
      </c>
      <c r="AF52" s="5"/>
      <c r="AG52" s="15" t="str">
        <f>IF($K52="","",IF(AF52="ใช่",INDEX(Fee_รถยนต์_Bill!$B:$B,MATCH("ค่าย้ายออกต่างจังหวัด",Fee_รถยนต์_Bill!$A:$A,0)),0))</f>
        <v/>
      </c>
      <c r="AH52" s="15" t="str">
        <f t="shared" si="13"/>
        <v/>
      </c>
      <c r="AI52" s="5"/>
      <c r="AJ52" s="15" t="str">
        <f>IF($K52="","",IF(U52="รถยนต์",IF(AI52="ใช่",INDEX(Fee_รถยนต์_NoBill!$B:$B,MATCH("ค่าอากร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2" s="15" t="str">
        <f>IF($K52="","",IF(U52="รถยนต์",IFERROR(INDEX(Fee_รถยนต์_NoBill!$B:$B,MATCH("ลงขัน - "&amp;K52,Fee_รถยนต์_NoBill!$A:$A,0)),0),IFERROR(INDEX(Fee_จยย_NoBill!$B:$B,MATCH("ลงขัน - รย.12 ทุกประเภท (CC)",Fee_จยย_NoBill!$A:$A,0)),0)))</f>
        <v/>
      </c>
      <c r="AL52" s="5"/>
      <c r="AM52" s="15" t="str">
        <f>IF($K52="","",IF(AL52="ใช่",IF(U52="รถยนต์",INDEX(Fee_รถยนต์_NoBill!$B:$B,MATCH("งานด่วนเพิ่ม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2" s="15" t="str">
        <f t="shared" si="14"/>
        <v/>
      </c>
      <c r="AO52" s="16" t="str">
        <f t="shared" si="15"/>
        <v/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7" t="str">
        <f t="shared" si="16"/>
        <v/>
      </c>
      <c r="BB52" s="7" t="str">
        <f t="shared" si="17"/>
        <v/>
      </c>
    </row>
    <row r="53" spans="1:54" x14ac:dyDescent="0.3">
      <c r="A53" s="15" t="str">
        <f t="shared" si="9"/>
        <v/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15" t="str">
        <f t="shared" si="10"/>
        <v/>
      </c>
      <c r="O53" s="5"/>
      <c r="P53" s="15" t="str">
        <f>IF($K53="","",IF(O53="ตัดบัญชี",IFERROR(INDEX(Fee_ตัดบัญชี!$D:$D,MATCH(BB53,Fee_ตัดบัญชี!$C:$C,0)),0),0))</f>
        <v/>
      </c>
      <c r="Q53" s="15" t="str">
        <f>IF($K53="","",IF(O53="แจ้งย้าย",IFERROR(INDEX(Fee_แจ้งย้าย!$D:$D,MATCH(BB53,Fee_แจ้งย้าย!$C:$C,0)),0),0))</f>
        <v/>
      </c>
      <c r="R53" s="15" t="str">
        <f t="shared" si="11"/>
        <v/>
      </c>
      <c r="S53" s="5"/>
      <c r="T53" s="15" t="str">
        <f>IF($K53="","",IF(O53&lt;&gt;"ตัดบัญชี",0,IF(S53="กทม.",IFERROR(INDEX(Fee_ตรวจรถ_กทม!$D:$D,MATCH(BB53,Fee_ตรวจรถ_กทม!$C:$C,0)),0),IF(S53="ต่างจังหวัด",IFERROR(INDEX(Fee_ตรวจรถ_ตจว!$D:$D,MATCH(L53&amp;"|"&amp;K53,Fee_ตรวจรถ_ตจว!$C:$C,0)),0),0))))</f>
        <v/>
      </c>
      <c r="U53" s="15" t="str">
        <f t="shared" si="12"/>
        <v/>
      </c>
      <c r="V53" s="15" t="str">
        <f>IF($K53="","",IF(U53="รถยนต์",IF(N53="ใช่",INDEX(Fee_รถยนต์_Bill!$B:$B,MATCH("ค่าคำขอ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3" s="15" t="str">
        <f>IF($K53="","",IF(N53="ใช่",IF(U53="รถยนต์",INDEX(Fee_รถยนต์_Bill!$B:$B,MATCH("ค่าธรรมเนียมอื่นๆ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3" s="15" t="str">
        <f>IF($K53="","",IF(U53="รถยนต์",INDEX(Fee_รถยนต์_Bill!$B:$B,MATCH("ค่าตรวจสภาพรถ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3" s="15" t="str">
        <f>IF($K53="","",IF(U53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3" s="15" t="str">
        <f>IF($K53="","",IF(U53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3" s="5"/>
      <c r="AB53" s="5"/>
      <c r="AC53" s="15" t="str">
        <f>IF($K53="","",IF(AB53="เลขประมูล",INDEX(Fee_รถยนต์_Bill!$B:$B,MATCH("ค่าขอใช้เลขทะเบียน - เลขประมูล",Fee_รถยนต์_Bill!$A:$A,0)),IF(AB53="ไม่ใช่เลขประมูล",INDEX(Fee_รถยนต์_Bill!$B:$B,MATCH("ค่าขอใช้เลขทะเบียน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3" s="5"/>
      <c r="AE53" s="15" t="str">
        <f>IF($K53="","",IF(AD53="ป้ายขาวดำ",INDEX(Fee_รถยนต์_Bill!$B:$B,MATCH("ค่าทำแผ่นป้ายทะเบียนใหม่ - ป้ายขาวดำ",Fee_รถยนต์_Bill!$A:$A,0)),IF(AD53="ป้ายประมูล",INDEX(Fee_รถยนต์_Bill!$B:$B,MATCH("ค่าทำแผ่นป้ายทะเบียนใหม่ - ป้ายประมูล",Fee_รถยนต์_Bill!$A:$A,0)),0)))</f>
        <v/>
      </c>
      <c r="AF53" s="5"/>
      <c r="AG53" s="15" t="str">
        <f>IF($K53="","",IF(AF53="ใช่",INDEX(Fee_รถยนต์_Bill!$B:$B,MATCH("ค่าย้ายออกต่างจังหวัด",Fee_รถยนต์_Bill!$A:$A,0)),0))</f>
        <v/>
      </c>
      <c r="AH53" s="15" t="str">
        <f t="shared" si="13"/>
        <v/>
      </c>
      <c r="AI53" s="5"/>
      <c r="AJ53" s="15" t="str">
        <f>IF($K53="","",IF(U53="รถยนต์",IF(AI53="ใช่",INDEX(Fee_รถยนต์_NoBill!$B:$B,MATCH("ค่าอากร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3" s="15" t="str">
        <f>IF($K53="","",IF(U53="รถยนต์",IFERROR(INDEX(Fee_รถยนต์_NoBill!$B:$B,MATCH("ลงขัน - "&amp;K53,Fee_รถยนต์_NoBill!$A:$A,0)),0),IFERROR(INDEX(Fee_จยย_NoBill!$B:$B,MATCH("ลงขัน - รย.12 ทุกประเภท (CC)",Fee_จยย_NoBill!$A:$A,0)),0)))</f>
        <v/>
      </c>
      <c r="AL53" s="5"/>
      <c r="AM53" s="15" t="str">
        <f>IF($K53="","",IF(AL53="ใช่",IF(U53="รถยนต์",INDEX(Fee_รถยนต์_NoBill!$B:$B,MATCH("งานด่วนเพิ่ม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3" s="15" t="str">
        <f t="shared" si="14"/>
        <v/>
      </c>
      <c r="AO53" s="16" t="str">
        <f t="shared" si="15"/>
        <v/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7" t="str">
        <f t="shared" si="16"/>
        <v/>
      </c>
      <c r="BB53" s="7" t="str">
        <f t="shared" si="17"/>
        <v/>
      </c>
    </row>
    <row r="54" spans="1:54" x14ac:dyDescent="0.3">
      <c r="A54" s="15" t="str">
        <f t="shared" si="9"/>
        <v/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15" t="str">
        <f t="shared" si="10"/>
        <v/>
      </c>
      <c r="O54" s="5"/>
      <c r="P54" s="15" t="str">
        <f>IF($K54="","",IF(O54="ตัดบัญชี",IFERROR(INDEX(Fee_ตัดบัญชี!$D:$D,MATCH(BB54,Fee_ตัดบัญชี!$C:$C,0)),0),0))</f>
        <v/>
      </c>
      <c r="Q54" s="15" t="str">
        <f>IF($K54="","",IF(O54="แจ้งย้าย",IFERROR(INDEX(Fee_แจ้งย้าย!$D:$D,MATCH(BB54,Fee_แจ้งย้าย!$C:$C,0)),0),0))</f>
        <v/>
      </c>
      <c r="R54" s="15" t="str">
        <f t="shared" si="11"/>
        <v/>
      </c>
      <c r="S54" s="5"/>
      <c r="T54" s="15" t="str">
        <f>IF($K54="","",IF(O54&lt;&gt;"ตัดบัญชี",0,IF(S54="กทม.",IFERROR(INDEX(Fee_ตรวจรถ_กทม!$D:$D,MATCH(BB54,Fee_ตรวจรถ_กทม!$C:$C,0)),0),IF(S54="ต่างจังหวัด",IFERROR(INDEX(Fee_ตรวจรถ_ตจว!$D:$D,MATCH(L54&amp;"|"&amp;K54,Fee_ตรวจรถ_ตจว!$C:$C,0)),0),0))))</f>
        <v/>
      </c>
      <c r="U54" s="15" t="str">
        <f t="shared" si="12"/>
        <v/>
      </c>
      <c r="V54" s="15" t="str">
        <f>IF($K54="","",IF(U54="รถยนต์",IF(N54="ใช่",INDEX(Fee_รถยนต์_Bill!$B:$B,MATCH("ค่าคำขอ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4" s="15" t="str">
        <f>IF($K54="","",IF(N54="ใช่",IF(U54="รถยนต์",INDEX(Fee_รถยนต์_Bill!$B:$B,MATCH("ค่าธรรมเนียมอื่นๆ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4" s="15" t="str">
        <f>IF($K54="","",IF(U54="รถยนต์",INDEX(Fee_รถยนต์_Bill!$B:$B,MATCH("ค่าตรวจสภาพรถ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4" s="15" t="str">
        <f>IF($K54="","",IF(U54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4" s="15" t="str">
        <f>IF($K54="","",IF(U54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4" s="5"/>
      <c r="AB54" s="5"/>
      <c r="AC54" s="15" t="str">
        <f>IF($K54="","",IF(AB54="เลขประมูล",INDEX(Fee_รถยนต์_Bill!$B:$B,MATCH("ค่าขอใช้เลขทะเบียน - เลขประมูล",Fee_รถยนต์_Bill!$A:$A,0)),IF(AB54="ไม่ใช่เลขประมูล",INDEX(Fee_รถยนต์_Bill!$B:$B,MATCH("ค่าขอใช้เลขทะเบียน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4" s="5"/>
      <c r="AE54" s="15" t="str">
        <f>IF($K54="","",IF(AD54="ป้ายขาวดำ",INDEX(Fee_รถยนต์_Bill!$B:$B,MATCH("ค่าทำแผ่นป้ายทะเบียนใหม่ - ป้ายขาวดำ",Fee_รถยนต์_Bill!$A:$A,0)),IF(AD54="ป้ายประมูล",INDEX(Fee_รถยนต์_Bill!$B:$B,MATCH("ค่าทำแผ่นป้ายทะเบียนใหม่ - ป้ายประมูล",Fee_รถยนต์_Bill!$A:$A,0)),0)))</f>
        <v/>
      </c>
      <c r="AF54" s="5"/>
      <c r="AG54" s="15" t="str">
        <f>IF($K54="","",IF(AF54="ใช่",INDEX(Fee_รถยนต์_Bill!$B:$B,MATCH("ค่าย้ายออกต่างจังหวัด",Fee_รถยนต์_Bill!$A:$A,0)),0))</f>
        <v/>
      </c>
      <c r="AH54" s="15" t="str">
        <f t="shared" si="13"/>
        <v/>
      </c>
      <c r="AI54" s="5"/>
      <c r="AJ54" s="15" t="str">
        <f>IF($K54="","",IF(U54="รถยนต์",IF(AI54="ใช่",INDEX(Fee_รถยนต์_NoBill!$B:$B,MATCH("ค่าอากร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4" s="15" t="str">
        <f>IF($K54="","",IF(U54="รถยนต์",IFERROR(INDEX(Fee_รถยนต์_NoBill!$B:$B,MATCH("ลงขัน - "&amp;K54,Fee_รถยนต์_NoBill!$A:$A,0)),0),IFERROR(INDEX(Fee_จยย_NoBill!$B:$B,MATCH("ลงขัน - รย.12 ทุกประเภท (CC)",Fee_จยย_NoBill!$A:$A,0)),0)))</f>
        <v/>
      </c>
      <c r="AL54" s="5"/>
      <c r="AM54" s="15" t="str">
        <f>IF($K54="","",IF(AL54="ใช่",IF(U54="รถยนต์",INDEX(Fee_รถยนต์_NoBill!$B:$B,MATCH("งานด่วนเพิ่ม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4" s="15" t="str">
        <f t="shared" si="14"/>
        <v/>
      </c>
      <c r="AO54" s="16" t="str">
        <f t="shared" si="15"/>
        <v/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7" t="str">
        <f t="shared" si="16"/>
        <v/>
      </c>
      <c r="BB54" s="7" t="str">
        <f t="shared" si="17"/>
        <v/>
      </c>
    </row>
    <row r="55" spans="1:54" x14ac:dyDescent="0.3">
      <c r="A55" s="15" t="str">
        <f t="shared" si="9"/>
        <v/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15" t="str">
        <f t="shared" si="10"/>
        <v/>
      </c>
      <c r="O55" s="5"/>
      <c r="P55" s="15" t="str">
        <f>IF($K55="","",IF(O55="ตัดบัญชี",IFERROR(INDEX(Fee_ตัดบัญชี!$D:$D,MATCH(BB55,Fee_ตัดบัญชี!$C:$C,0)),0),0))</f>
        <v/>
      </c>
      <c r="Q55" s="15" t="str">
        <f>IF($K55="","",IF(O55="แจ้งย้าย",IFERROR(INDEX(Fee_แจ้งย้าย!$D:$D,MATCH(BB55,Fee_แจ้งย้าย!$C:$C,0)),0),0))</f>
        <v/>
      </c>
      <c r="R55" s="15" t="str">
        <f t="shared" si="11"/>
        <v/>
      </c>
      <c r="S55" s="5"/>
      <c r="T55" s="15" t="str">
        <f>IF($K55="","",IF(O55&lt;&gt;"ตัดบัญชี",0,IF(S55="กทม.",IFERROR(INDEX(Fee_ตรวจรถ_กทม!$D:$D,MATCH(BB55,Fee_ตรวจรถ_กทม!$C:$C,0)),0),IF(S55="ต่างจังหวัด",IFERROR(INDEX(Fee_ตรวจรถ_ตจว!$D:$D,MATCH(L55&amp;"|"&amp;K55,Fee_ตรวจรถ_ตจว!$C:$C,0)),0),0))))</f>
        <v/>
      </c>
      <c r="U55" s="15" t="str">
        <f t="shared" si="12"/>
        <v/>
      </c>
      <c r="V55" s="15" t="str">
        <f>IF($K55="","",IF(U55="รถยนต์",IF(N55="ใช่",INDEX(Fee_รถยนต์_Bill!$B:$B,MATCH("ค่าคำขอ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5" s="15" t="str">
        <f>IF($K55="","",IF(N55="ใช่",IF(U55="รถยนต์",INDEX(Fee_รถยนต์_Bill!$B:$B,MATCH("ค่าธรรมเนียมอื่นๆ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5" s="15" t="str">
        <f>IF($K55="","",IF(U55="รถยนต์",INDEX(Fee_รถยนต์_Bill!$B:$B,MATCH("ค่าตรวจสภาพรถ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5" s="15" t="str">
        <f>IF($K55="","",IF(U55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5" s="15" t="str">
        <f>IF($K55="","",IF(U55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5" s="5"/>
      <c r="AB55" s="5"/>
      <c r="AC55" s="15" t="str">
        <f>IF($K55="","",IF(AB55="เลขประมูล",INDEX(Fee_รถยนต์_Bill!$B:$B,MATCH("ค่าขอใช้เลขทะเบียน - เลขประมูล",Fee_รถยนต์_Bill!$A:$A,0)),IF(AB55="ไม่ใช่เลขประมูล",INDEX(Fee_รถยนต์_Bill!$B:$B,MATCH("ค่าขอใช้เลขทะเบียน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5" s="5"/>
      <c r="AE55" s="15" t="str">
        <f>IF($K55="","",IF(AD55="ป้ายขาวดำ",INDEX(Fee_รถยนต์_Bill!$B:$B,MATCH("ค่าทำแผ่นป้ายทะเบียนใหม่ - ป้ายขาวดำ",Fee_รถยนต์_Bill!$A:$A,0)),IF(AD55="ป้ายประมูล",INDEX(Fee_รถยนต์_Bill!$B:$B,MATCH("ค่าทำแผ่นป้ายทะเบียนใหม่ - ป้ายประมูล",Fee_รถยนต์_Bill!$A:$A,0)),0)))</f>
        <v/>
      </c>
      <c r="AF55" s="5"/>
      <c r="AG55" s="15" t="str">
        <f>IF($K55="","",IF(AF55="ใช่",INDEX(Fee_รถยนต์_Bill!$B:$B,MATCH("ค่าย้ายออกต่างจังหวัด",Fee_รถยนต์_Bill!$A:$A,0)),0))</f>
        <v/>
      </c>
      <c r="AH55" s="15" t="str">
        <f t="shared" si="13"/>
        <v/>
      </c>
      <c r="AI55" s="5"/>
      <c r="AJ55" s="15" t="str">
        <f>IF($K55="","",IF(U55="รถยนต์",IF(AI55="ใช่",INDEX(Fee_รถยนต์_NoBill!$B:$B,MATCH("ค่าอากร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5" s="15" t="str">
        <f>IF($K55="","",IF(U55="รถยนต์",IFERROR(INDEX(Fee_รถยนต์_NoBill!$B:$B,MATCH("ลงขัน - "&amp;K55,Fee_รถยนต์_NoBill!$A:$A,0)),0),IFERROR(INDEX(Fee_จยย_NoBill!$B:$B,MATCH("ลงขัน - รย.12 ทุกประเภท (CC)",Fee_จยย_NoBill!$A:$A,0)),0)))</f>
        <v/>
      </c>
      <c r="AL55" s="5"/>
      <c r="AM55" s="15" t="str">
        <f>IF($K55="","",IF(AL55="ใช่",IF(U55="รถยนต์",INDEX(Fee_รถยนต์_NoBill!$B:$B,MATCH("งานด่วนเพิ่ม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5" s="15" t="str">
        <f t="shared" si="14"/>
        <v/>
      </c>
      <c r="AO55" s="16" t="str">
        <f t="shared" si="15"/>
        <v/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7" t="str">
        <f t="shared" si="16"/>
        <v/>
      </c>
      <c r="BB55" s="7" t="str">
        <f t="shared" si="17"/>
        <v/>
      </c>
    </row>
    <row r="56" spans="1:54" x14ac:dyDescent="0.3">
      <c r="A56" s="15" t="str">
        <f t="shared" si="9"/>
        <v/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15" t="str">
        <f t="shared" si="10"/>
        <v/>
      </c>
      <c r="O56" s="5"/>
      <c r="P56" s="15" t="str">
        <f>IF($K56="","",IF(O56="ตัดบัญชี",IFERROR(INDEX(Fee_ตัดบัญชี!$D:$D,MATCH(BB56,Fee_ตัดบัญชี!$C:$C,0)),0),0))</f>
        <v/>
      </c>
      <c r="Q56" s="15" t="str">
        <f>IF($K56="","",IF(O56="แจ้งย้าย",IFERROR(INDEX(Fee_แจ้งย้าย!$D:$D,MATCH(BB56,Fee_แจ้งย้าย!$C:$C,0)),0),0))</f>
        <v/>
      </c>
      <c r="R56" s="15" t="str">
        <f t="shared" si="11"/>
        <v/>
      </c>
      <c r="S56" s="5"/>
      <c r="T56" s="15" t="str">
        <f>IF($K56="","",IF(O56&lt;&gt;"ตัดบัญชี",0,IF(S56="กทม.",IFERROR(INDEX(Fee_ตรวจรถ_กทม!$D:$D,MATCH(BB56,Fee_ตรวจรถ_กทม!$C:$C,0)),0),IF(S56="ต่างจังหวัด",IFERROR(INDEX(Fee_ตรวจรถ_ตจว!$D:$D,MATCH(L56&amp;"|"&amp;K56,Fee_ตรวจรถ_ตจว!$C:$C,0)),0),0))))</f>
        <v/>
      </c>
      <c r="U56" s="15" t="str">
        <f t="shared" si="12"/>
        <v/>
      </c>
      <c r="V56" s="15" t="str">
        <f>IF($K56="","",IF(U56="รถยนต์",IF(N56="ใช่",INDEX(Fee_รถยนต์_Bill!$B:$B,MATCH("ค่าคำขอ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6" s="15" t="str">
        <f>IF($K56="","",IF(N56="ใช่",IF(U56="รถยนต์",INDEX(Fee_รถยนต์_Bill!$B:$B,MATCH("ค่าธรรมเนียมอื่นๆ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6" s="15" t="str">
        <f>IF($K56="","",IF(U56="รถยนต์",INDEX(Fee_รถยนต์_Bill!$B:$B,MATCH("ค่าตรวจสภาพรถ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6" s="15" t="str">
        <f>IF($K56="","",IF(U56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6" s="15" t="str">
        <f>IF($K56="","",IF(U56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6" s="5"/>
      <c r="AB56" s="5"/>
      <c r="AC56" s="15" t="str">
        <f>IF($K56="","",IF(AB56="เลขประมูล",INDEX(Fee_รถยนต์_Bill!$B:$B,MATCH("ค่าขอใช้เลขทะเบียน - เลขประมูล",Fee_รถยนต์_Bill!$A:$A,0)),IF(AB56="ไม่ใช่เลขประมูล",INDEX(Fee_รถยนต์_Bill!$B:$B,MATCH("ค่าขอใช้เลขทะเบียน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6" s="5"/>
      <c r="AE56" s="15" t="str">
        <f>IF($K56="","",IF(AD56="ป้ายขาวดำ",INDEX(Fee_รถยนต์_Bill!$B:$B,MATCH("ค่าทำแผ่นป้ายทะเบียนใหม่ - ป้ายขาวดำ",Fee_รถยนต์_Bill!$A:$A,0)),IF(AD56="ป้ายประมูล",INDEX(Fee_รถยนต์_Bill!$B:$B,MATCH("ค่าทำแผ่นป้ายทะเบียนใหม่ - ป้ายประมูล",Fee_รถยนต์_Bill!$A:$A,0)),0)))</f>
        <v/>
      </c>
      <c r="AF56" s="5"/>
      <c r="AG56" s="15" t="str">
        <f>IF($K56="","",IF(AF56="ใช่",INDEX(Fee_รถยนต์_Bill!$B:$B,MATCH("ค่าย้ายออกต่างจังหวัด",Fee_รถยนต์_Bill!$A:$A,0)),0))</f>
        <v/>
      </c>
      <c r="AH56" s="15" t="str">
        <f t="shared" si="13"/>
        <v/>
      </c>
      <c r="AI56" s="5"/>
      <c r="AJ56" s="15" t="str">
        <f>IF($K56="","",IF(U56="รถยนต์",IF(AI56="ใช่",INDEX(Fee_รถยนต์_NoBill!$B:$B,MATCH("ค่าอากร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6" s="15" t="str">
        <f>IF($K56="","",IF(U56="รถยนต์",IFERROR(INDEX(Fee_รถยนต์_NoBill!$B:$B,MATCH("ลงขัน - "&amp;K56,Fee_รถยนต์_NoBill!$A:$A,0)),0),IFERROR(INDEX(Fee_จยย_NoBill!$B:$B,MATCH("ลงขัน - รย.12 ทุกประเภท (CC)",Fee_จยย_NoBill!$A:$A,0)),0)))</f>
        <v/>
      </c>
      <c r="AL56" s="5"/>
      <c r="AM56" s="15" t="str">
        <f>IF($K56="","",IF(AL56="ใช่",IF(U56="รถยนต์",INDEX(Fee_รถยนต์_NoBill!$B:$B,MATCH("งานด่วนเพิ่ม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6" s="15" t="str">
        <f t="shared" si="14"/>
        <v/>
      </c>
      <c r="AO56" s="16" t="str">
        <f t="shared" si="15"/>
        <v/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7" t="str">
        <f t="shared" si="16"/>
        <v/>
      </c>
      <c r="BB56" s="7" t="str">
        <f t="shared" si="17"/>
        <v/>
      </c>
    </row>
    <row r="57" spans="1:54" x14ac:dyDescent="0.3">
      <c r="A57" s="15" t="str">
        <f t="shared" si="9"/>
        <v/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15" t="str">
        <f t="shared" si="10"/>
        <v/>
      </c>
      <c r="O57" s="5"/>
      <c r="P57" s="15" t="str">
        <f>IF($K57="","",IF(O57="ตัดบัญชี",IFERROR(INDEX(Fee_ตัดบัญชี!$D:$D,MATCH(BB57,Fee_ตัดบัญชี!$C:$C,0)),0),0))</f>
        <v/>
      </c>
      <c r="Q57" s="15" t="str">
        <f>IF($K57="","",IF(O57="แจ้งย้าย",IFERROR(INDEX(Fee_แจ้งย้าย!$D:$D,MATCH(BB57,Fee_แจ้งย้าย!$C:$C,0)),0),0))</f>
        <v/>
      </c>
      <c r="R57" s="15" t="str">
        <f t="shared" si="11"/>
        <v/>
      </c>
      <c r="S57" s="5"/>
      <c r="T57" s="15" t="str">
        <f>IF($K57="","",IF(O57&lt;&gt;"ตัดบัญชี",0,IF(S57="กทม.",IFERROR(INDEX(Fee_ตรวจรถ_กทม!$D:$D,MATCH(BB57,Fee_ตรวจรถ_กทม!$C:$C,0)),0),IF(S57="ต่างจังหวัด",IFERROR(INDEX(Fee_ตรวจรถ_ตจว!$D:$D,MATCH(L57&amp;"|"&amp;K57,Fee_ตรวจรถ_ตจว!$C:$C,0)),0),0))))</f>
        <v/>
      </c>
      <c r="U57" s="15" t="str">
        <f t="shared" si="12"/>
        <v/>
      </c>
      <c r="V57" s="15" t="str">
        <f>IF($K57="","",IF(U57="รถยนต์",IF(N57="ใช่",INDEX(Fee_รถยนต์_Bill!$B:$B,MATCH("ค่าคำขอ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7" s="15" t="str">
        <f>IF($K57="","",IF(N57="ใช่",IF(U57="รถยนต์",INDEX(Fee_รถยนต์_Bill!$B:$B,MATCH("ค่าธรรมเนียมอื่นๆ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7" s="15" t="str">
        <f>IF($K57="","",IF(U57="รถยนต์",INDEX(Fee_รถยนต์_Bill!$B:$B,MATCH("ค่าตรวจสภาพรถ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7" s="15" t="str">
        <f>IF($K57="","",IF(U57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7" s="15" t="str">
        <f>IF($K57="","",IF(U57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7" s="5"/>
      <c r="AB57" s="5"/>
      <c r="AC57" s="15" t="str">
        <f>IF($K57="","",IF(AB57="เลขประมูล",INDEX(Fee_รถยนต์_Bill!$B:$B,MATCH("ค่าขอใช้เลขทะเบียน - เลขประมูล",Fee_รถยนต์_Bill!$A:$A,0)),IF(AB57="ไม่ใช่เลขประมูล",INDEX(Fee_รถยนต์_Bill!$B:$B,MATCH("ค่าขอใช้เลขทะเบียน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7" s="5"/>
      <c r="AE57" s="15" t="str">
        <f>IF($K57="","",IF(AD57="ป้ายขาวดำ",INDEX(Fee_รถยนต์_Bill!$B:$B,MATCH("ค่าทำแผ่นป้ายทะเบียนใหม่ - ป้ายขาวดำ",Fee_รถยนต์_Bill!$A:$A,0)),IF(AD57="ป้ายประมูล",INDEX(Fee_รถยนต์_Bill!$B:$B,MATCH("ค่าทำแผ่นป้ายทะเบียนใหม่ - ป้ายประมูล",Fee_รถยนต์_Bill!$A:$A,0)),0)))</f>
        <v/>
      </c>
      <c r="AF57" s="5"/>
      <c r="AG57" s="15" t="str">
        <f>IF($K57="","",IF(AF57="ใช่",INDEX(Fee_รถยนต์_Bill!$B:$B,MATCH("ค่าย้ายออกต่างจังหวัด",Fee_รถยนต์_Bill!$A:$A,0)),0))</f>
        <v/>
      </c>
      <c r="AH57" s="15" t="str">
        <f t="shared" si="13"/>
        <v/>
      </c>
      <c r="AI57" s="5"/>
      <c r="AJ57" s="15" t="str">
        <f>IF($K57="","",IF(U57="รถยนต์",IF(AI57="ใช่",INDEX(Fee_รถยนต์_NoBill!$B:$B,MATCH("ค่าอากร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7" s="15" t="str">
        <f>IF($K57="","",IF(U57="รถยนต์",IFERROR(INDEX(Fee_รถยนต์_NoBill!$B:$B,MATCH("ลงขัน - "&amp;K57,Fee_รถยนต์_NoBill!$A:$A,0)),0),IFERROR(INDEX(Fee_จยย_NoBill!$B:$B,MATCH("ลงขัน - รย.12 ทุกประเภท (CC)",Fee_จยย_NoBill!$A:$A,0)),0)))</f>
        <v/>
      </c>
      <c r="AL57" s="5"/>
      <c r="AM57" s="15" t="str">
        <f>IF($K57="","",IF(AL57="ใช่",IF(U57="รถยนต์",INDEX(Fee_รถยนต์_NoBill!$B:$B,MATCH("งานด่วนเพิ่ม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7" s="15" t="str">
        <f t="shared" si="14"/>
        <v/>
      </c>
      <c r="AO57" s="16" t="str">
        <f t="shared" si="15"/>
        <v/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7" t="str">
        <f t="shared" si="16"/>
        <v/>
      </c>
      <c r="BB57" s="7" t="str">
        <f t="shared" si="17"/>
        <v/>
      </c>
    </row>
    <row r="58" spans="1:54" x14ac:dyDescent="0.3">
      <c r="A58" s="15" t="str">
        <f t="shared" si="9"/>
        <v/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15" t="str">
        <f t="shared" si="10"/>
        <v/>
      </c>
      <c r="O58" s="5"/>
      <c r="P58" s="15" t="str">
        <f>IF($K58="","",IF(O58="ตัดบัญชี",IFERROR(INDEX(Fee_ตัดบัญชี!$D:$D,MATCH(BB58,Fee_ตัดบัญชี!$C:$C,0)),0),0))</f>
        <v/>
      </c>
      <c r="Q58" s="15" t="str">
        <f>IF($K58="","",IF(O58="แจ้งย้าย",IFERROR(INDEX(Fee_แจ้งย้าย!$D:$D,MATCH(BB58,Fee_แจ้งย้าย!$C:$C,0)),0),0))</f>
        <v/>
      </c>
      <c r="R58" s="15" t="str">
        <f t="shared" si="11"/>
        <v/>
      </c>
      <c r="S58" s="5"/>
      <c r="T58" s="15" t="str">
        <f>IF($K58="","",IF(O58&lt;&gt;"ตัดบัญชี",0,IF(S58="กทม.",IFERROR(INDEX(Fee_ตรวจรถ_กทม!$D:$D,MATCH(BB58,Fee_ตรวจรถ_กทม!$C:$C,0)),0),IF(S58="ต่างจังหวัด",IFERROR(INDEX(Fee_ตรวจรถ_ตจว!$D:$D,MATCH(L58&amp;"|"&amp;K58,Fee_ตรวจรถ_ตจว!$C:$C,0)),0),0))))</f>
        <v/>
      </c>
      <c r="U58" s="15" t="str">
        <f t="shared" si="12"/>
        <v/>
      </c>
      <c r="V58" s="15" t="str">
        <f>IF($K58="","",IF(U58="รถยนต์",IF(N58="ใช่",INDEX(Fee_รถยนต์_Bill!$B:$B,MATCH("ค่าคำขอ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8" s="15" t="str">
        <f>IF($K58="","",IF(N58="ใช่",IF(U58="รถยนต์",INDEX(Fee_รถยนต์_Bill!$B:$B,MATCH("ค่าธรรมเนียมอื่นๆ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8" s="15" t="str">
        <f>IF($K58="","",IF(U58="รถยนต์",INDEX(Fee_รถยนต์_Bill!$B:$B,MATCH("ค่าตรวจสภาพรถ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8" s="15" t="str">
        <f>IF($K58="","",IF(U58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8" s="15" t="str">
        <f>IF($K58="","",IF(U58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8" s="5"/>
      <c r="AB58" s="5"/>
      <c r="AC58" s="15" t="str">
        <f>IF($K58="","",IF(AB58="เลขประมูล",INDEX(Fee_รถยนต์_Bill!$B:$B,MATCH("ค่าขอใช้เลขทะเบียน - เลขประมูล",Fee_รถยนต์_Bill!$A:$A,0)),IF(AB58="ไม่ใช่เลขประมูล",INDEX(Fee_รถยนต์_Bill!$B:$B,MATCH("ค่าขอใช้เลขทะเบียน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8" s="5"/>
      <c r="AE58" s="15" t="str">
        <f>IF($K58="","",IF(AD58="ป้ายขาวดำ",INDEX(Fee_รถยนต์_Bill!$B:$B,MATCH("ค่าทำแผ่นป้ายทะเบียนใหม่ - ป้ายขาวดำ",Fee_รถยนต์_Bill!$A:$A,0)),IF(AD58="ป้ายประมูล",INDEX(Fee_รถยนต์_Bill!$B:$B,MATCH("ค่าทำแผ่นป้ายทะเบียนใหม่ - ป้ายประมูล",Fee_รถยนต์_Bill!$A:$A,0)),0)))</f>
        <v/>
      </c>
      <c r="AF58" s="5"/>
      <c r="AG58" s="15" t="str">
        <f>IF($K58="","",IF(AF58="ใช่",INDEX(Fee_รถยนต์_Bill!$B:$B,MATCH("ค่าย้ายออกต่างจังหวัด",Fee_รถยนต์_Bill!$A:$A,0)),0))</f>
        <v/>
      </c>
      <c r="AH58" s="15" t="str">
        <f t="shared" si="13"/>
        <v/>
      </c>
      <c r="AI58" s="5"/>
      <c r="AJ58" s="15" t="str">
        <f>IF($K58="","",IF(U58="รถยนต์",IF(AI58="ใช่",INDEX(Fee_รถยนต์_NoBill!$B:$B,MATCH("ค่าอากร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8" s="15" t="str">
        <f>IF($K58="","",IF(U58="รถยนต์",IFERROR(INDEX(Fee_รถยนต์_NoBill!$B:$B,MATCH("ลงขัน - "&amp;K58,Fee_รถยนต์_NoBill!$A:$A,0)),0),IFERROR(INDEX(Fee_จยย_NoBill!$B:$B,MATCH("ลงขัน - รย.12 ทุกประเภท (CC)",Fee_จยย_NoBill!$A:$A,0)),0)))</f>
        <v/>
      </c>
      <c r="AL58" s="5"/>
      <c r="AM58" s="15" t="str">
        <f>IF($K58="","",IF(AL58="ใช่",IF(U58="รถยนต์",INDEX(Fee_รถยนต์_NoBill!$B:$B,MATCH("งานด่วนเพิ่ม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8" s="15" t="str">
        <f t="shared" si="14"/>
        <v/>
      </c>
      <c r="AO58" s="16" t="str">
        <f t="shared" si="15"/>
        <v/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7" t="str">
        <f t="shared" si="16"/>
        <v/>
      </c>
      <c r="BB58" s="7" t="str">
        <f t="shared" si="17"/>
        <v/>
      </c>
    </row>
    <row r="59" spans="1:54" x14ac:dyDescent="0.3">
      <c r="A59" s="15" t="str">
        <f t="shared" si="9"/>
        <v/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15" t="str">
        <f t="shared" si="10"/>
        <v/>
      </c>
      <c r="O59" s="5"/>
      <c r="P59" s="15" t="str">
        <f>IF($K59="","",IF(O59="ตัดบัญชี",IFERROR(INDEX(Fee_ตัดบัญชี!$D:$D,MATCH(BB59,Fee_ตัดบัญชี!$C:$C,0)),0),0))</f>
        <v/>
      </c>
      <c r="Q59" s="15" t="str">
        <f>IF($K59="","",IF(O59="แจ้งย้าย",IFERROR(INDEX(Fee_แจ้งย้าย!$D:$D,MATCH(BB59,Fee_แจ้งย้าย!$C:$C,0)),0),0))</f>
        <v/>
      </c>
      <c r="R59" s="15" t="str">
        <f t="shared" si="11"/>
        <v/>
      </c>
      <c r="S59" s="5"/>
      <c r="T59" s="15" t="str">
        <f>IF($K59="","",IF(O59&lt;&gt;"ตัดบัญชี",0,IF(S59="กทม.",IFERROR(INDEX(Fee_ตรวจรถ_กทม!$D:$D,MATCH(BB59,Fee_ตรวจรถ_กทม!$C:$C,0)),0),IF(S59="ต่างจังหวัด",IFERROR(INDEX(Fee_ตรวจรถ_ตจว!$D:$D,MATCH(L59&amp;"|"&amp;K59,Fee_ตรวจรถ_ตจว!$C:$C,0)),0),0))))</f>
        <v/>
      </c>
      <c r="U59" s="15" t="str">
        <f t="shared" si="12"/>
        <v/>
      </c>
      <c r="V59" s="15" t="str">
        <f>IF($K59="","",IF(U59="รถยนต์",IF(N59="ใช่",INDEX(Fee_รถยนต์_Bill!$B:$B,MATCH("ค่าคำขอ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(ปกติ)",Fee_รถยนต์_Bill!$A:$A,0))),IF(N59="ใช่",INDEX(Fee_จยย_Bill!$B:$B,MATCH("ค่าคำขอ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59" s="15" t="str">
        <f>IF($K59="","",IF(N59="ใช่",IF(U59="รถยนต์",INDEX(Fee_รถยนต์_Bill!$B:$B,MATCH("ค่าธรรมเนียมอื่นๆ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59" s="15" t="str">
        <f>IF($K59="","",IF(U59="รถยนต์",INDEX(Fee_รถยนต์_Bill!$B:$B,MATCH("ค่าตรวจสภาพรถ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59" s="15" t="str">
        <f>IF($K59="","",IF(U59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59" s="15" t="str">
        <f>IF($K59="","",IF(U59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59" s="5"/>
      <c r="AB59" s="5"/>
      <c r="AC59" s="15" t="str">
        <f>IF($K59="","",IF(AB59="เลขประมูล",INDEX(Fee_รถยนต์_Bill!$B:$B,MATCH("ค่าขอใช้เลขทะเบียน - เลขประมูล",Fee_รถยนต์_Bill!$A:$A,0)),IF(AB59="ไม่ใช่เลขประมูล",INDEX(Fee_รถยนต์_Bill!$B:$B,MATCH("ค่าขอใช้เลขทะเบียน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59" s="5"/>
      <c r="AE59" s="15" t="str">
        <f>IF($K59="","",IF(AD59="ป้ายขาวดำ",INDEX(Fee_รถยนต์_Bill!$B:$B,MATCH("ค่าทำแผ่นป้ายทะเบียนใหม่ - ป้ายขาวดำ",Fee_รถยนต์_Bill!$A:$A,0)),IF(AD59="ป้ายประมูล",INDEX(Fee_รถยนต์_Bill!$B:$B,MATCH("ค่าทำแผ่นป้ายทะเบียนใหม่ - ป้ายประมูล",Fee_รถยนต์_Bill!$A:$A,0)),0)))</f>
        <v/>
      </c>
      <c r="AF59" s="5"/>
      <c r="AG59" s="15" t="str">
        <f>IF($K59="","",IF(AF59="ใช่",INDEX(Fee_รถยนต์_Bill!$B:$B,MATCH("ค่าย้ายออกต่างจังหวัด",Fee_รถยนต์_Bill!$A:$A,0)),0))</f>
        <v/>
      </c>
      <c r="AH59" s="15" t="str">
        <f t="shared" si="13"/>
        <v/>
      </c>
      <c r="AI59" s="5"/>
      <c r="AJ59" s="15" t="str">
        <f>IF($K59="","",IF(U59="รถยนต์",IF(AI59="ใช่",INDEX(Fee_รถยนต์_NoBill!$B:$B,MATCH("ค่าอากร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(ปกติ)",Fee_รถยนต์_NoBill!$A:$A,0))),IF(AI59="ใช่",INDEX(Fee_จยย_NoBill!$B:$B,MATCH("ค่าอากร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59" s="15" t="str">
        <f>IF($K59="","",IF(U59="รถยนต์",IFERROR(INDEX(Fee_รถยนต์_NoBill!$B:$B,MATCH("ลงขัน - "&amp;K59,Fee_รถยนต์_NoBill!$A:$A,0)),0),IFERROR(INDEX(Fee_จยย_NoBill!$B:$B,MATCH("ลงขัน - รย.12 ทุกประเภท (CC)",Fee_จยย_NoBill!$A:$A,0)),0)))</f>
        <v/>
      </c>
      <c r="AL59" s="5"/>
      <c r="AM59" s="15" t="str">
        <f>IF($K59="","",IF(AL59="ใช่",IF(U59="รถยนต์",INDEX(Fee_รถยนต์_NoBill!$B:$B,MATCH("งานด่วนเพิ่ม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59" s="15" t="str">
        <f t="shared" si="14"/>
        <v/>
      </c>
      <c r="AO59" s="16" t="str">
        <f t="shared" si="15"/>
        <v/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7" t="str">
        <f t="shared" si="16"/>
        <v/>
      </c>
      <c r="BB59" s="7" t="str">
        <f t="shared" si="17"/>
        <v/>
      </c>
    </row>
    <row r="60" spans="1:54" x14ac:dyDescent="0.3">
      <c r="A60" s="15" t="str">
        <f t="shared" si="9"/>
        <v/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15" t="str">
        <f t="shared" si="10"/>
        <v/>
      </c>
      <c r="O60" s="5"/>
      <c r="P60" s="15" t="str">
        <f>IF($K60="","",IF(O60="ตัดบัญชี",IFERROR(INDEX(Fee_ตัดบัญชี!$D:$D,MATCH(BB60,Fee_ตัดบัญชี!$C:$C,0)),0),0))</f>
        <v/>
      </c>
      <c r="Q60" s="15" t="str">
        <f>IF($K60="","",IF(O60="แจ้งย้าย",IFERROR(INDEX(Fee_แจ้งย้าย!$D:$D,MATCH(BB60,Fee_แจ้งย้าย!$C:$C,0)),0),0))</f>
        <v/>
      </c>
      <c r="R60" s="15" t="str">
        <f t="shared" si="11"/>
        <v/>
      </c>
      <c r="S60" s="5"/>
      <c r="T60" s="15" t="str">
        <f>IF($K60="","",IF(O60&lt;&gt;"ตัดบัญชี",0,IF(S60="กทม.",IFERROR(INDEX(Fee_ตรวจรถ_กทม!$D:$D,MATCH(BB60,Fee_ตรวจรถ_กทม!$C:$C,0)),0),IF(S60="ต่างจังหวัด",IFERROR(INDEX(Fee_ตรวจรถ_ตจว!$D:$D,MATCH(L60&amp;"|"&amp;K60,Fee_ตรวจรถ_ตจว!$C:$C,0)),0),0))))</f>
        <v/>
      </c>
      <c r="U60" s="15" t="str">
        <f t="shared" si="12"/>
        <v/>
      </c>
      <c r="V60" s="15" t="str">
        <f>IF($K60="","",IF(U60="รถยนต์",IF(N60="ใช่",INDEX(Fee_รถยนต์_Bill!$B:$B,MATCH("ค่าคำขอ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0" s="15" t="str">
        <f>IF($K60="","",IF(N60="ใช่",IF(U60="รถยนต์",INDEX(Fee_รถยนต์_Bill!$B:$B,MATCH("ค่าธรรมเนียมอื่นๆ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0" s="15" t="str">
        <f>IF($K60="","",IF(U60="รถยนต์",INDEX(Fee_รถยนต์_Bill!$B:$B,MATCH("ค่าตรวจสภาพรถ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0" s="15" t="str">
        <f>IF($K60="","",IF(U60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0" s="15" t="str">
        <f>IF($K60="","",IF(U60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0" s="5"/>
      <c r="AB60" s="5"/>
      <c r="AC60" s="15" t="str">
        <f>IF($K60="","",IF(AB60="เลขประมูล",INDEX(Fee_รถยนต์_Bill!$B:$B,MATCH("ค่าขอใช้เลขทะเบียน - เลขประมูล",Fee_รถยนต์_Bill!$A:$A,0)),IF(AB60="ไม่ใช่เลขประมูล",INDEX(Fee_รถยนต์_Bill!$B:$B,MATCH("ค่าขอใช้เลขทะเบียน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0" s="5"/>
      <c r="AE60" s="15" t="str">
        <f>IF($K60="","",IF(AD60="ป้ายขาวดำ",INDEX(Fee_รถยนต์_Bill!$B:$B,MATCH("ค่าทำแผ่นป้ายทะเบียนใหม่ - ป้ายขาวดำ",Fee_รถยนต์_Bill!$A:$A,0)),IF(AD60="ป้ายประมูล",INDEX(Fee_รถยนต์_Bill!$B:$B,MATCH("ค่าทำแผ่นป้ายทะเบียนใหม่ - ป้ายประมูล",Fee_รถยนต์_Bill!$A:$A,0)),0)))</f>
        <v/>
      </c>
      <c r="AF60" s="5"/>
      <c r="AG60" s="15" t="str">
        <f>IF($K60="","",IF(AF60="ใช่",INDEX(Fee_รถยนต์_Bill!$B:$B,MATCH("ค่าย้ายออกต่างจังหวัด",Fee_รถยนต์_Bill!$A:$A,0)),0))</f>
        <v/>
      </c>
      <c r="AH60" s="15" t="str">
        <f t="shared" si="13"/>
        <v/>
      </c>
      <c r="AI60" s="5"/>
      <c r="AJ60" s="15" t="str">
        <f>IF($K60="","",IF(U60="รถยนต์",IF(AI60="ใช่",INDEX(Fee_รถยนต์_NoBill!$B:$B,MATCH("ค่าอากร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0" s="15" t="str">
        <f>IF($K60="","",IF(U60="รถยนต์",IFERROR(INDEX(Fee_รถยนต์_NoBill!$B:$B,MATCH("ลงขัน - "&amp;K60,Fee_รถยนต์_NoBill!$A:$A,0)),0),IFERROR(INDEX(Fee_จยย_NoBill!$B:$B,MATCH("ลงขัน - รย.12 ทุกประเภท (CC)",Fee_จยย_NoBill!$A:$A,0)),0)))</f>
        <v/>
      </c>
      <c r="AL60" s="5"/>
      <c r="AM60" s="15" t="str">
        <f>IF($K60="","",IF(AL60="ใช่",IF(U60="รถยนต์",INDEX(Fee_รถยนต์_NoBill!$B:$B,MATCH("งานด่วนเพิ่ม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0" s="15" t="str">
        <f t="shared" si="14"/>
        <v/>
      </c>
      <c r="AO60" s="16" t="str">
        <f t="shared" si="15"/>
        <v/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7" t="str">
        <f t="shared" si="16"/>
        <v/>
      </c>
      <c r="BB60" s="7" t="str">
        <f t="shared" si="17"/>
        <v/>
      </c>
    </row>
    <row r="61" spans="1:54" x14ac:dyDescent="0.3">
      <c r="A61" s="15" t="str">
        <f t="shared" si="9"/>
        <v/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15" t="str">
        <f t="shared" si="10"/>
        <v/>
      </c>
      <c r="O61" s="5"/>
      <c r="P61" s="15" t="str">
        <f>IF($K61="","",IF(O61="ตัดบัญชี",IFERROR(INDEX(Fee_ตัดบัญชี!$D:$D,MATCH(BB61,Fee_ตัดบัญชี!$C:$C,0)),0),0))</f>
        <v/>
      </c>
      <c r="Q61" s="15" t="str">
        <f>IF($K61="","",IF(O61="แจ้งย้าย",IFERROR(INDEX(Fee_แจ้งย้าย!$D:$D,MATCH(BB61,Fee_แจ้งย้าย!$C:$C,0)),0),0))</f>
        <v/>
      </c>
      <c r="R61" s="15" t="str">
        <f t="shared" si="11"/>
        <v/>
      </c>
      <c r="S61" s="5"/>
      <c r="T61" s="15" t="str">
        <f>IF($K61="","",IF(O61&lt;&gt;"ตัดบัญชี",0,IF(S61="กทม.",IFERROR(INDEX(Fee_ตรวจรถ_กทม!$D:$D,MATCH(BB61,Fee_ตรวจรถ_กทม!$C:$C,0)),0),IF(S61="ต่างจังหวัด",IFERROR(INDEX(Fee_ตรวจรถ_ตจว!$D:$D,MATCH(L61&amp;"|"&amp;K61,Fee_ตรวจรถ_ตจว!$C:$C,0)),0),0))))</f>
        <v/>
      </c>
      <c r="U61" s="15" t="str">
        <f t="shared" si="12"/>
        <v/>
      </c>
      <c r="V61" s="15" t="str">
        <f>IF($K61="","",IF(U61="รถยนต์",IF(N61="ใช่",INDEX(Fee_รถยนต์_Bill!$B:$B,MATCH("ค่าคำขอ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1" s="15" t="str">
        <f>IF($K61="","",IF(N61="ใช่",IF(U61="รถยนต์",INDEX(Fee_รถยนต์_Bill!$B:$B,MATCH("ค่าธรรมเนียมอื่นๆ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1" s="15" t="str">
        <f>IF($K61="","",IF(U61="รถยนต์",INDEX(Fee_รถยนต์_Bill!$B:$B,MATCH("ค่าตรวจสภาพรถ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1" s="15" t="str">
        <f>IF($K61="","",IF(U61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1" s="15" t="str">
        <f>IF($K61="","",IF(U61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1" s="5"/>
      <c r="AB61" s="5"/>
      <c r="AC61" s="15" t="str">
        <f>IF($K61="","",IF(AB61="เลขประมูล",INDEX(Fee_รถยนต์_Bill!$B:$B,MATCH("ค่าขอใช้เลขทะเบียน - เลขประมูล",Fee_รถยนต์_Bill!$A:$A,0)),IF(AB61="ไม่ใช่เลขประมูล",INDEX(Fee_รถยนต์_Bill!$B:$B,MATCH("ค่าขอใช้เลขทะเบียน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1" s="5"/>
      <c r="AE61" s="15" t="str">
        <f>IF($K61="","",IF(AD61="ป้ายขาวดำ",INDEX(Fee_รถยนต์_Bill!$B:$B,MATCH("ค่าทำแผ่นป้ายทะเบียนใหม่ - ป้ายขาวดำ",Fee_รถยนต์_Bill!$A:$A,0)),IF(AD61="ป้ายประมูล",INDEX(Fee_รถยนต์_Bill!$B:$B,MATCH("ค่าทำแผ่นป้ายทะเบียนใหม่ - ป้ายประมูล",Fee_รถยนต์_Bill!$A:$A,0)),0)))</f>
        <v/>
      </c>
      <c r="AF61" s="5"/>
      <c r="AG61" s="15" t="str">
        <f>IF($K61="","",IF(AF61="ใช่",INDEX(Fee_รถยนต์_Bill!$B:$B,MATCH("ค่าย้ายออกต่างจังหวัด",Fee_รถยนต์_Bill!$A:$A,0)),0))</f>
        <v/>
      </c>
      <c r="AH61" s="15" t="str">
        <f t="shared" si="13"/>
        <v/>
      </c>
      <c r="AI61" s="5"/>
      <c r="AJ61" s="15" t="str">
        <f>IF($K61="","",IF(U61="รถยนต์",IF(AI61="ใช่",INDEX(Fee_รถยนต์_NoBill!$B:$B,MATCH("ค่าอากร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1" s="15" t="str">
        <f>IF($K61="","",IF(U61="รถยนต์",IFERROR(INDEX(Fee_รถยนต์_NoBill!$B:$B,MATCH("ลงขัน - "&amp;K61,Fee_รถยนต์_NoBill!$A:$A,0)),0),IFERROR(INDEX(Fee_จยย_NoBill!$B:$B,MATCH("ลงขัน - รย.12 ทุกประเภท (CC)",Fee_จยย_NoBill!$A:$A,0)),0)))</f>
        <v/>
      </c>
      <c r="AL61" s="5"/>
      <c r="AM61" s="15" t="str">
        <f>IF($K61="","",IF(AL61="ใช่",IF(U61="รถยนต์",INDEX(Fee_รถยนต์_NoBill!$B:$B,MATCH("งานด่วนเพิ่ม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1" s="15" t="str">
        <f t="shared" si="14"/>
        <v/>
      </c>
      <c r="AO61" s="16" t="str">
        <f t="shared" si="15"/>
        <v/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7" t="str">
        <f t="shared" si="16"/>
        <v/>
      </c>
      <c r="BB61" s="7" t="str">
        <f t="shared" si="17"/>
        <v/>
      </c>
    </row>
    <row r="62" spans="1:54" x14ac:dyDescent="0.3">
      <c r="A62" s="15" t="str">
        <f t="shared" si="9"/>
        <v/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15" t="str">
        <f t="shared" si="10"/>
        <v/>
      </c>
      <c r="O62" s="5"/>
      <c r="P62" s="15" t="str">
        <f>IF($K62="","",IF(O62="ตัดบัญชี",IFERROR(INDEX(Fee_ตัดบัญชี!$D:$D,MATCH(BB62,Fee_ตัดบัญชี!$C:$C,0)),0),0))</f>
        <v/>
      </c>
      <c r="Q62" s="15" t="str">
        <f>IF($K62="","",IF(O62="แจ้งย้าย",IFERROR(INDEX(Fee_แจ้งย้าย!$D:$D,MATCH(BB62,Fee_แจ้งย้าย!$C:$C,0)),0),0))</f>
        <v/>
      </c>
      <c r="R62" s="15" t="str">
        <f t="shared" si="11"/>
        <v/>
      </c>
      <c r="S62" s="5"/>
      <c r="T62" s="15" t="str">
        <f>IF($K62="","",IF(O62&lt;&gt;"ตัดบัญชี",0,IF(S62="กทม.",IFERROR(INDEX(Fee_ตรวจรถ_กทม!$D:$D,MATCH(BB62,Fee_ตรวจรถ_กทม!$C:$C,0)),0),IF(S62="ต่างจังหวัด",IFERROR(INDEX(Fee_ตรวจรถ_ตจว!$D:$D,MATCH(L62&amp;"|"&amp;K62,Fee_ตรวจรถ_ตจว!$C:$C,0)),0),0))))</f>
        <v/>
      </c>
      <c r="U62" s="15" t="str">
        <f t="shared" si="12"/>
        <v/>
      </c>
      <c r="V62" s="15" t="str">
        <f>IF($K62="","",IF(U62="รถยนต์",IF(N62="ใช่",INDEX(Fee_รถยนต์_Bill!$B:$B,MATCH("ค่าคำขอ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(ปกติ)",Fee_รถยนต์_Bill!$A:$A,0))),IF(N62="ใช่",INDEX(Fee_จยย_Bill!$B:$B,MATCH("ค่าคำขอ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2" s="15" t="str">
        <f>IF($K62="","",IF(N62="ใช่",IF(U62="รถยนต์",INDEX(Fee_รถยนต์_Bill!$B:$B,MATCH("ค่าธรรมเนียมอื่นๆ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2" s="15" t="str">
        <f>IF($K62="","",IF(U62="รถยนต์",INDEX(Fee_รถยนต์_Bill!$B:$B,MATCH("ค่าตรวจสภาพรถ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2" s="15" t="str">
        <f>IF($K62="","",IF(U62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2" s="15" t="str">
        <f>IF($K62="","",IF(U62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2" s="5"/>
      <c r="AB62" s="5"/>
      <c r="AC62" s="15" t="str">
        <f>IF($K62="","",IF(AB62="เลขประมูล",INDEX(Fee_รถยนต์_Bill!$B:$B,MATCH("ค่าขอใช้เลขทะเบียน - เลขประมูล",Fee_รถยนต์_Bill!$A:$A,0)),IF(AB62="ไม่ใช่เลขประมูล",INDEX(Fee_รถยนต์_Bill!$B:$B,MATCH("ค่าขอใช้เลขทะเบียน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2" s="5"/>
      <c r="AE62" s="15" t="str">
        <f>IF($K62="","",IF(AD62="ป้ายขาวดำ",INDEX(Fee_รถยนต์_Bill!$B:$B,MATCH("ค่าทำแผ่นป้ายทะเบียนใหม่ - ป้ายขาวดำ",Fee_รถยนต์_Bill!$A:$A,0)),IF(AD62="ป้ายประมูล",INDEX(Fee_รถยนต์_Bill!$B:$B,MATCH("ค่าทำแผ่นป้ายทะเบียนใหม่ - ป้ายประมูล",Fee_รถยนต์_Bill!$A:$A,0)),0)))</f>
        <v/>
      </c>
      <c r="AF62" s="5"/>
      <c r="AG62" s="15" t="str">
        <f>IF($K62="","",IF(AF62="ใช่",INDEX(Fee_รถยนต์_Bill!$B:$B,MATCH("ค่าย้ายออกต่างจังหวัด",Fee_รถยนต์_Bill!$A:$A,0)),0))</f>
        <v/>
      </c>
      <c r="AH62" s="15" t="str">
        <f t="shared" si="13"/>
        <v/>
      </c>
      <c r="AI62" s="5"/>
      <c r="AJ62" s="15" t="str">
        <f>IF($K62="","",IF(U62="รถยนต์",IF(AI62="ใช่",INDEX(Fee_รถยนต์_NoBill!$B:$B,MATCH("ค่าอากร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2" s="15" t="str">
        <f>IF($K62="","",IF(U62="รถยนต์",IFERROR(INDEX(Fee_รถยนต์_NoBill!$B:$B,MATCH("ลงขัน - "&amp;K62,Fee_รถยนต์_NoBill!$A:$A,0)),0),IFERROR(INDEX(Fee_จยย_NoBill!$B:$B,MATCH("ลงขัน - รย.12 ทุกประเภท (CC)",Fee_จยย_NoBill!$A:$A,0)),0)))</f>
        <v/>
      </c>
      <c r="AL62" s="5"/>
      <c r="AM62" s="15" t="str">
        <f>IF($K62="","",IF(AL62="ใช่",IF(U62="รถยนต์",INDEX(Fee_รถยนต์_NoBill!$B:$B,MATCH("งานด่วนเพิ่ม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2" s="15" t="str">
        <f t="shared" si="14"/>
        <v/>
      </c>
      <c r="AO62" s="16" t="str">
        <f t="shared" si="15"/>
        <v/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7" t="str">
        <f t="shared" si="16"/>
        <v/>
      </c>
      <c r="BB62" s="7" t="str">
        <f t="shared" si="17"/>
        <v/>
      </c>
    </row>
    <row r="63" spans="1:54" x14ac:dyDescent="0.3">
      <c r="A63" s="15" t="str">
        <f t="shared" si="9"/>
        <v/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15" t="str">
        <f t="shared" si="10"/>
        <v/>
      </c>
      <c r="O63" s="5"/>
      <c r="P63" s="15" t="str">
        <f>IF($K63="","",IF(O63="ตัดบัญชี",IFERROR(INDEX(Fee_ตัดบัญชี!$D:$D,MATCH(BB63,Fee_ตัดบัญชี!$C:$C,0)),0),0))</f>
        <v/>
      </c>
      <c r="Q63" s="15" t="str">
        <f>IF($K63="","",IF(O63="แจ้งย้าย",IFERROR(INDEX(Fee_แจ้งย้าย!$D:$D,MATCH(BB63,Fee_แจ้งย้าย!$C:$C,0)),0),0))</f>
        <v/>
      </c>
      <c r="R63" s="15" t="str">
        <f t="shared" si="11"/>
        <v/>
      </c>
      <c r="S63" s="5"/>
      <c r="T63" s="15" t="str">
        <f>IF($K63="","",IF(O63&lt;&gt;"ตัดบัญชี",0,IF(S63="กทม.",IFERROR(INDEX(Fee_ตรวจรถ_กทม!$D:$D,MATCH(BB63,Fee_ตรวจรถ_กทม!$C:$C,0)),0),IF(S63="ต่างจังหวัด",IFERROR(INDEX(Fee_ตรวจรถ_ตจว!$D:$D,MATCH(L63&amp;"|"&amp;K63,Fee_ตรวจรถ_ตจว!$C:$C,0)),0),0))))</f>
        <v/>
      </c>
      <c r="U63" s="15" t="str">
        <f t="shared" si="12"/>
        <v/>
      </c>
      <c r="V63" s="15" t="str">
        <f>IF($K63="","",IF(U63="รถยนต์",IF(N63="ใช่",INDEX(Fee_รถยนต์_Bill!$B:$B,MATCH("ค่าคำขอ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3" s="15" t="str">
        <f>IF($K63="","",IF(N63="ใช่",IF(U63="รถยนต์",INDEX(Fee_รถยนต์_Bill!$B:$B,MATCH("ค่าธรรมเนียมอื่นๆ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3" s="15" t="str">
        <f>IF($K63="","",IF(U63="รถยนต์",INDEX(Fee_รถยนต์_Bill!$B:$B,MATCH("ค่าตรวจสภาพรถ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3" s="15" t="str">
        <f>IF($K63="","",IF(U63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3" s="15" t="str">
        <f>IF($K63="","",IF(U63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3" s="5"/>
      <c r="AB63" s="5"/>
      <c r="AC63" s="15" t="str">
        <f>IF($K63="","",IF(AB63="เลขประมูล",INDEX(Fee_รถยนต์_Bill!$B:$B,MATCH("ค่าขอใช้เลขทะเบียน - เลขประมูล",Fee_รถยนต์_Bill!$A:$A,0)),IF(AB63="ไม่ใช่เลขประมูล",INDEX(Fee_รถยนต์_Bill!$B:$B,MATCH("ค่าขอใช้เลขทะเบียน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3" s="5"/>
      <c r="AE63" s="15" t="str">
        <f>IF($K63="","",IF(AD63="ป้ายขาวดำ",INDEX(Fee_รถยนต์_Bill!$B:$B,MATCH("ค่าทำแผ่นป้ายทะเบียนใหม่ - ป้ายขาวดำ",Fee_รถยนต์_Bill!$A:$A,0)),IF(AD63="ป้ายประมูล",INDEX(Fee_รถยนต์_Bill!$B:$B,MATCH("ค่าทำแผ่นป้ายทะเบียนใหม่ - ป้ายประมูล",Fee_รถยนต์_Bill!$A:$A,0)),0)))</f>
        <v/>
      </c>
      <c r="AF63" s="5"/>
      <c r="AG63" s="15" t="str">
        <f>IF($K63="","",IF(AF63="ใช่",INDEX(Fee_รถยนต์_Bill!$B:$B,MATCH("ค่าย้ายออกต่างจังหวัด",Fee_รถยนต์_Bill!$A:$A,0)),0))</f>
        <v/>
      </c>
      <c r="AH63" s="15" t="str">
        <f t="shared" si="13"/>
        <v/>
      </c>
      <c r="AI63" s="5"/>
      <c r="AJ63" s="15" t="str">
        <f>IF($K63="","",IF(U63="รถยนต์",IF(AI63="ใช่",INDEX(Fee_รถยนต์_NoBill!$B:$B,MATCH("ค่าอากร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3" s="15" t="str">
        <f>IF($K63="","",IF(U63="รถยนต์",IFERROR(INDEX(Fee_รถยนต์_NoBill!$B:$B,MATCH("ลงขัน - "&amp;K63,Fee_รถยนต์_NoBill!$A:$A,0)),0),IFERROR(INDEX(Fee_จยย_NoBill!$B:$B,MATCH("ลงขัน - รย.12 ทุกประเภท (CC)",Fee_จยย_NoBill!$A:$A,0)),0)))</f>
        <v/>
      </c>
      <c r="AL63" s="5"/>
      <c r="AM63" s="15" t="str">
        <f>IF($K63="","",IF(AL63="ใช่",IF(U63="รถยนต์",INDEX(Fee_รถยนต์_NoBill!$B:$B,MATCH("งานด่วนเพิ่ม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3" s="15" t="str">
        <f t="shared" si="14"/>
        <v/>
      </c>
      <c r="AO63" s="16" t="str">
        <f t="shared" si="15"/>
        <v/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7" t="str">
        <f t="shared" si="16"/>
        <v/>
      </c>
      <c r="BB63" s="7" t="str">
        <f t="shared" si="17"/>
        <v/>
      </c>
    </row>
    <row r="64" spans="1:54" x14ac:dyDescent="0.3">
      <c r="A64" s="15" t="str">
        <f t="shared" si="9"/>
        <v/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5" t="str">
        <f t="shared" si="10"/>
        <v/>
      </c>
      <c r="O64" s="5"/>
      <c r="P64" s="15" t="str">
        <f>IF($K64="","",IF(O64="ตัดบัญชี",IFERROR(INDEX(Fee_ตัดบัญชี!$D:$D,MATCH(BB64,Fee_ตัดบัญชี!$C:$C,0)),0),0))</f>
        <v/>
      </c>
      <c r="Q64" s="15" t="str">
        <f>IF($K64="","",IF(O64="แจ้งย้าย",IFERROR(INDEX(Fee_แจ้งย้าย!$D:$D,MATCH(BB64,Fee_แจ้งย้าย!$C:$C,0)),0),0))</f>
        <v/>
      </c>
      <c r="R64" s="15" t="str">
        <f t="shared" si="11"/>
        <v/>
      </c>
      <c r="S64" s="5"/>
      <c r="T64" s="15" t="str">
        <f>IF($K64="","",IF(O64&lt;&gt;"ตัดบัญชี",0,IF(S64="กทม.",IFERROR(INDEX(Fee_ตรวจรถ_กทม!$D:$D,MATCH(BB64,Fee_ตรวจรถ_กทม!$C:$C,0)),0),IF(S64="ต่างจังหวัด",IFERROR(INDEX(Fee_ตรวจรถ_ตจว!$D:$D,MATCH(L64&amp;"|"&amp;K64,Fee_ตรวจรถ_ตจว!$C:$C,0)),0),0))))</f>
        <v/>
      </c>
      <c r="U64" s="15" t="str">
        <f t="shared" si="12"/>
        <v/>
      </c>
      <c r="V64" s="15" t="str">
        <f>IF($K64="","",IF(U64="รถยนต์",IF(N64="ใช่",INDEX(Fee_รถยนต์_Bill!$B:$B,MATCH("ค่าคำขอ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4" s="15" t="str">
        <f>IF($K64="","",IF(N64="ใช่",IF(U64="รถยนต์",INDEX(Fee_รถยนต์_Bill!$B:$B,MATCH("ค่าธรรมเนียมอื่นๆ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4" s="15" t="str">
        <f>IF($K64="","",IF(U64="รถยนต์",INDEX(Fee_รถยนต์_Bill!$B:$B,MATCH("ค่าตรวจสภาพรถ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4" s="15" t="str">
        <f>IF($K64="","",IF(U64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4" s="15" t="str">
        <f>IF($K64="","",IF(U64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4" s="5"/>
      <c r="AB64" s="5"/>
      <c r="AC64" s="15" t="str">
        <f>IF($K64="","",IF(AB64="เลขประมูล",INDEX(Fee_รถยนต์_Bill!$B:$B,MATCH("ค่าขอใช้เลขทะเบียน - เลขประมูล",Fee_รถยนต์_Bill!$A:$A,0)),IF(AB64="ไม่ใช่เลขประมูล",INDEX(Fee_รถยนต์_Bill!$B:$B,MATCH("ค่าขอใช้เลขทะเบียน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4" s="5"/>
      <c r="AE64" s="15" t="str">
        <f>IF($K64="","",IF(AD64="ป้ายขาวดำ",INDEX(Fee_รถยนต์_Bill!$B:$B,MATCH("ค่าทำแผ่นป้ายทะเบียนใหม่ - ป้ายขาวดำ",Fee_รถยนต์_Bill!$A:$A,0)),IF(AD64="ป้ายประมูล",INDEX(Fee_รถยนต์_Bill!$B:$B,MATCH("ค่าทำแผ่นป้ายทะเบียนใหม่ - ป้ายประมูล",Fee_รถยนต์_Bill!$A:$A,0)),0)))</f>
        <v/>
      </c>
      <c r="AF64" s="5"/>
      <c r="AG64" s="15" t="str">
        <f>IF($K64="","",IF(AF64="ใช่",INDEX(Fee_รถยนต์_Bill!$B:$B,MATCH("ค่าย้ายออกต่างจังหวัด",Fee_รถยนต์_Bill!$A:$A,0)),0))</f>
        <v/>
      </c>
      <c r="AH64" s="15" t="str">
        <f t="shared" si="13"/>
        <v/>
      </c>
      <c r="AI64" s="5"/>
      <c r="AJ64" s="15" t="str">
        <f>IF($K64="","",IF(U64="รถยนต์",IF(AI64="ใช่",INDEX(Fee_รถยนต์_NoBill!$B:$B,MATCH("ค่าอากร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4" s="15" t="str">
        <f>IF($K64="","",IF(U64="รถยนต์",IFERROR(INDEX(Fee_รถยนต์_NoBill!$B:$B,MATCH("ลงขัน - "&amp;K64,Fee_รถยนต์_NoBill!$A:$A,0)),0),IFERROR(INDEX(Fee_จยย_NoBill!$B:$B,MATCH("ลงขัน - รย.12 ทุกประเภท (CC)",Fee_จยย_NoBill!$A:$A,0)),0)))</f>
        <v/>
      </c>
      <c r="AL64" s="5"/>
      <c r="AM64" s="15" t="str">
        <f>IF($K64="","",IF(AL64="ใช่",IF(U64="รถยนต์",INDEX(Fee_รถยนต์_NoBill!$B:$B,MATCH("งานด่วนเพิ่ม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4" s="15" t="str">
        <f t="shared" si="14"/>
        <v/>
      </c>
      <c r="AO64" s="16" t="str">
        <f t="shared" si="15"/>
        <v/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7" t="str">
        <f t="shared" si="16"/>
        <v/>
      </c>
      <c r="BB64" s="7" t="str">
        <f t="shared" si="17"/>
        <v/>
      </c>
    </row>
    <row r="65" spans="1:54" x14ac:dyDescent="0.3">
      <c r="A65" s="15" t="str">
        <f t="shared" si="9"/>
        <v/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15" t="str">
        <f t="shared" si="10"/>
        <v/>
      </c>
      <c r="O65" s="5"/>
      <c r="P65" s="15" t="str">
        <f>IF($K65="","",IF(O65="ตัดบัญชี",IFERROR(INDEX(Fee_ตัดบัญชี!$D:$D,MATCH(BB65,Fee_ตัดบัญชี!$C:$C,0)),0),0))</f>
        <v/>
      </c>
      <c r="Q65" s="15" t="str">
        <f>IF($K65="","",IF(O65="แจ้งย้าย",IFERROR(INDEX(Fee_แจ้งย้าย!$D:$D,MATCH(BB65,Fee_แจ้งย้าย!$C:$C,0)),0),0))</f>
        <v/>
      </c>
      <c r="R65" s="15" t="str">
        <f t="shared" si="11"/>
        <v/>
      </c>
      <c r="S65" s="5"/>
      <c r="T65" s="15" t="str">
        <f>IF($K65="","",IF(O65&lt;&gt;"ตัดบัญชี",0,IF(S65="กทม.",IFERROR(INDEX(Fee_ตรวจรถ_กทม!$D:$D,MATCH(BB65,Fee_ตรวจรถ_กทม!$C:$C,0)),0),IF(S65="ต่างจังหวัด",IFERROR(INDEX(Fee_ตรวจรถ_ตจว!$D:$D,MATCH(L65&amp;"|"&amp;K65,Fee_ตรวจรถ_ตจว!$C:$C,0)),0),0))))</f>
        <v/>
      </c>
      <c r="U65" s="15" t="str">
        <f t="shared" si="12"/>
        <v/>
      </c>
      <c r="V65" s="15" t="str">
        <f>IF($K65="","",IF(U65="รถยนต์",IF(N65="ใช่",INDEX(Fee_รถยนต์_Bill!$B:$B,MATCH("ค่าคำขอ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5" s="15" t="str">
        <f>IF($K65="","",IF(N65="ใช่",IF(U65="รถยนต์",INDEX(Fee_รถยนต์_Bill!$B:$B,MATCH("ค่าธรรมเนียมอื่นๆ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5" s="15" t="str">
        <f>IF($K65="","",IF(U65="รถยนต์",INDEX(Fee_รถยนต์_Bill!$B:$B,MATCH("ค่าตรวจสภาพรถ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5" s="15" t="str">
        <f>IF($K65="","",IF(U65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5" s="15" t="str">
        <f>IF($K65="","",IF(U65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5" s="5"/>
      <c r="AB65" s="5"/>
      <c r="AC65" s="15" t="str">
        <f>IF($K65="","",IF(AB65="เลขประมูล",INDEX(Fee_รถยนต์_Bill!$B:$B,MATCH("ค่าขอใช้เลขทะเบียน - เลขประมูล",Fee_รถยนต์_Bill!$A:$A,0)),IF(AB65="ไม่ใช่เลขประมูล",INDEX(Fee_รถยนต์_Bill!$B:$B,MATCH("ค่าขอใช้เลขทะเบียน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5" s="5"/>
      <c r="AE65" s="15" t="str">
        <f>IF($K65="","",IF(AD65="ป้ายขาวดำ",INDEX(Fee_รถยนต์_Bill!$B:$B,MATCH("ค่าทำแผ่นป้ายทะเบียนใหม่ - ป้ายขาวดำ",Fee_รถยนต์_Bill!$A:$A,0)),IF(AD65="ป้ายประมูล",INDEX(Fee_รถยนต์_Bill!$B:$B,MATCH("ค่าทำแผ่นป้ายทะเบียนใหม่ - ป้ายประมูล",Fee_รถยนต์_Bill!$A:$A,0)),0)))</f>
        <v/>
      </c>
      <c r="AF65" s="5"/>
      <c r="AG65" s="15" t="str">
        <f>IF($K65="","",IF(AF65="ใช่",INDEX(Fee_รถยนต์_Bill!$B:$B,MATCH("ค่าย้ายออกต่างจังหวัด",Fee_รถยนต์_Bill!$A:$A,0)),0))</f>
        <v/>
      </c>
      <c r="AH65" s="15" t="str">
        <f t="shared" si="13"/>
        <v/>
      </c>
      <c r="AI65" s="5"/>
      <c r="AJ65" s="15" t="str">
        <f>IF($K65="","",IF(U65="รถยนต์",IF(AI65="ใช่",INDEX(Fee_รถยนต์_NoBill!$B:$B,MATCH("ค่าอากร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5" s="15" t="str">
        <f>IF($K65="","",IF(U65="รถยนต์",IFERROR(INDEX(Fee_รถยนต์_NoBill!$B:$B,MATCH("ลงขัน - "&amp;K65,Fee_รถยนต์_NoBill!$A:$A,0)),0),IFERROR(INDEX(Fee_จยย_NoBill!$B:$B,MATCH("ลงขัน - รย.12 ทุกประเภท (CC)",Fee_จยย_NoBill!$A:$A,0)),0)))</f>
        <v/>
      </c>
      <c r="AL65" s="5"/>
      <c r="AM65" s="15" t="str">
        <f>IF($K65="","",IF(AL65="ใช่",IF(U65="รถยนต์",INDEX(Fee_รถยนต์_NoBill!$B:$B,MATCH("งานด่วนเพิ่ม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5" s="15" t="str">
        <f t="shared" si="14"/>
        <v/>
      </c>
      <c r="AO65" s="16" t="str">
        <f t="shared" si="15"/>
        <v/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7" t="str">
        <f t="shared" si="16"/>
        <v/>
      </c>
      <c r="BB65" s="7" t="str">
        <f t="shared" si="17"/>
        <v/>
      </c>
    </row>
    <row r="66" spans="1:54" x14ac:dyDescent="0.3">
      <c r="A66" s="15" t="str">
        <f t="shared" ref="A66:A101" si="18">IF($K66="","",ROW()-1)</f>
        <v/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15" t="str">
        <f t="shared" ref="N66:N97" si="19">IF(OR(L66="",M66=""),"",IF(L66&lt;&gt;M66,"ใช่","ไม่ใช่"))</f>
        <v/>
      </c>
      <c r="O66" s="5"/>
      <c r="P66" s="15" t="str">
        <f>IF($K66="","",IF(O66="ตัดบัญชี",IFERROR(INDEX(Fee_ตัดบัญชี!$D:$D,MATCH(BB66,Fee_ตัดบัญชี!$C:$C,0)),0),0))</f>
        <v/>
      </c>
      <c r="Q66" s="15" t="str">
        <f>IF($K66="","",IF(O66="แจ้งย้าย",IFERROR(INDEX(Fee_แจ้งย้าย!$D:$D,MATCH(BB66,Fee_แจ้งย้าย!$C:$C,0)),0),0))</f>
        <v/>
      </c>
      <c r="R66" s="15" t="str">
        <f t="shared" ref="R66:R101" si="20">IF($K66="","",IF(O66="แจ้งย้าย",5,0))</f>
        <v/>
      </c>
      <c r="S66" s="5"/>
      <c r="T66" s="15" t="str">
        <f>IF($K66="","",IF(O66&lt;&gt;"ตัดบัญชี",0,IF(S66="กทม.",IFERROR(INDEX(Fee_ตรวจรถ_กทม!$D:$D,MATCH(BB66,Fee_ตรวจรถ_กทม!$C:$C,0)),0),IF(S66="ต่างจังหวัด",IFERROR(INDEX(Fee_ตรวจรถ_ตจว!$D:$D,MATCH(L66&amp;"|"&amp;K66,Fee_ตรวจรถ_ตจว!$C:$C,0)),0),0))))</f>
        <v/>
      </c>
      <c r="U66" s="15" t="str">
        <f t="shared" ref="U66:U101" si="21">IF($K66="","",IF(LEFT(K66,5)="รย.12","รถจักรยานยนต์","รถยนต์"))</f>
        <v/>
      </c>
      <c r="V66" s="15" t="str">
        <f>IF($K66="","",IF(U66="รถยนต์",IF(N66="ใช่",INDEX(Fee_รถยนต์_Bill!$B:$B,MATCH("ค่าคำขอ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6" s="15" t="str">
        <f>IF($K66="","",IF(N66="ใช่",IF(U66="รถยนต์",INDEX(Fee_รถยนต์_Bill!$B:$B,MATCH("ค่าธรรมเนียมอื่นๆ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6" s="15" t="str">
        <f>IF($K66="","",IF(U66="รถยนต์",INDEX(Fee_รถยนต์_Bill!$B:$B,MATCH("ค่าตรวจสภาพรถ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6" s="15" t="str">
        <f>IF($K66="","",IF(U66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6" s="15" t="str">
        <f>IF($K66="","",IF(U66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6" s="5"/>
      <c r="AB66" s="5"/>
      <c r="AC66" s="15" t="str">
        <f>IF($K66="","",IF(AB66="เลขประมูล",INDEX(Fee_รถยนต์_Bill!$B:$B,MATCH("ค่าขอใช้เลขทะเบียน - เลขประมูล",Fee_รถยนต์_Bill!$A:$A,0)),IF(AB66="ไม่ใช่เลขประมูล",INDEX(Fee_รถยนต์_Bill!$B:$B,MATCH("ค่าขอใช้เลขทะเบียน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6" s="5"/>
      <c r="AE66" s="15" t="str">
        <f>IF($K66="","",IF(AD66="ป้ายขาวดำ",INDEX(Fee_รถยนต์_Bill!$B:$B,MATCH("ค่าทำแผ่นป้ายทะเบียนใหม่ - ป้ายขาวดำ",Fee_รถยนต์_Bill!$A:$A,0)),IF(AD66="ป้ายประมูล",INDEX(Fee_รถยนต์_Bill!$B:$B,MATCH("ค่าทำแผ่นป้ายทะเบียนใหม่ - ป้ายประมูล",Fee_รถยนต์_Bill!$A:$A,0)),0)))</f>
        <v/>
      </c>
      <c r="AF66" s="5"/>
      <c r="AG66" s="15" t="str">
        <f>IF($K66="","",IF(AF66="ใช่",INDEX(Fee_รถยนต์_Bill!$B:$B,MATCH("ค่าย้ายออกต่างจังหวัด",Fee_รถยนต์_Bill!$A:$A,0)),0))</f>
        <v/>
      </c>
      <c r="AH66" s="15" t="str">
        <f t="shared" ref="AH66:AH97" si="22">IF($K66="","",SUM(V66:AG66))</f>
        <v/>
      </c>
      <c r="AI66" s="5"/>
      <c r="AJ66" s="15" t="str">
        <f>IF($K66="","",IF(U66="รถยนต์",IF(AI66="ใช่",INDEX(Fee_รถยนต์_NoBill!$B:$B,MATCH("ค่าอากร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6" s="15" t="str">
        <f>IF($K66="","",IF(U66="รถยนต์",IFERROR(INDEX(Fee_รถยนต์_NoBill!$B:$B,MATCH("ลงขัน - "&amp;K66,Fee_รถยนต์_NoBill!$A:$A,0)),0),IFERROR(INDEX(Fee_จยย_NoBill!$B:$B,MATCH("ลงขัน - รย.12 ทุกประเภท (CC)",Fee_จยย_NoBill!$A:$A,0)),0)))</f>
        <v/>
      </c>
      <c r="AL66" s="5"/>
      <c r="AM66" s="15" t="str">
        <f>IF($K66="","",IF(AL66="ใช่",IF(U66="รถยนต์",INDEX(Fee_รถยนต์_NoBill!$B:$B,MATCH("งานด่วนเพิ่ม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6" s="15" t="str">
        <f t="shared" ref="AN66:AN97" si="23">IF($K66="","",SUM(AJ66:AM66))</f>
        <v/>
      </c>
      <c r="AO66" s="16" t="str">
        <f t="shared" ref="AO66:AO97" si="24">IF($K66="","",P66+Q66+R66+T66+AH66+AN66)</f>
        <v/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7" t="str">
        <f t="shared" ref="BA66:BA101" si="25">IF($K66="","",IF(AND(K66="รย.1-เก๋ง 2 ตอน",OR(F66="Benz",F66="BMW",F66="Lexus",F66="Volvo")),F66,"อื่นๆ"))</f>
        <v/>
      </c>
      <c r="BB66" s="7" t="str">
        <f t="shared" ref="BB66:BB97" si="26">IF($K66="","",K66&amp;"|"&amp;BA66)</f>
        <v/>
      </c>
    </row>
    <row r="67" spans="1:54" x14ac:dyDescent="0.3">
      <c r="A67" s="15" t="str">
        <f t="shared" si="18"/>
        <v/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15" t="str">
        <f t="shared" si="19"/>
        <v/>
      </c>
      <c r="O67" s="5"/>
      <c r="P67" s="15" t="str">
        <f>IF($K67="","",IF(O67="ตัดบัญชี",IFERROR(INDEX(Fee_ตัดบัญชี!$D:$D,MATCH(BB67,Fee_ตัดบัญชี!$C:$C,0)),0),0))</f>
        <v/>
      </c>
      <c r="Q67" s="15" t="str">
        <f>IF($K67="","",IF(O67="แจ้งย้าย",IFERROR(INDEX(Fee_แจ้งย้าย!$D:$D,MATCH(BB67,Fee_แจ้งย้าย!$C:$C,0)),0),0))</f>
        <v/>
      </c>
      <c r="R67" s="15" t="str">
        <f t="shared" si="20"/>
        <v/>
      </c>
      <c r="S67" s="5"/>
      <c r="T67" s="15" t="str">
        <f>IF($K67="","",IF(O67&lt;&gt;"ตัดบัญชี",0,IF(S67="กทม.",IFERROR(INDEX(Fee_ตรวจรถ_กทม!$D:$D,MATCH(BB67,Fee_ตรวจรถ_กทม!$C:$C,0)),0),IF(S67="ต่างจังหวัด",IFERROR(INDEX(Fee_ตรวจรถ_ตจว!$D:$D,MATCH(L67&amp;"|"&amp;K67,Fee_ตรวจรถ_ตจว!$C:$C,0)),0),0))))</f>
        <v/>
      </c>
      <c r="U67" s="15" t="str">
        <f t="shared" si="21"/>
        <v/>
      </c>
      <c r="V67" s="15" t="str">
        <f>IF($K67="","",IF(U67="รถยนต์",IF(N67="ใช่",INDEX(Fee_รถยนต์_Bill!$B:$B,MATCH("ค่าคำขอ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7" s="15" t="str">
        <f>IF($K67="","",IF(N67="ใช่",IF(U67="รถยนต์",INDEX(Fee_รถยนต์_Bill!$B:$B,MATCH("ค่าธรรมเนียมอื่นๆ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7" s="15" t="str">
        <f>IF($K67="","",IF(U67="รถยนต์",INDEX(Fee_รถยนต์_Bill!$B:$B,MATCH("ค่าตรวจสภาพรถ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7" s="15" t="str">
        <f>IF($K67="","",IF(U67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7" s="15" t="str">
        <f>IF($K67="","",IF(U67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7" s="5"/>
      <c r="AB67" s="5"/>
      <c r="AC67" s="15" t="str">
        <f>IF($K67="","",IF(AB67="เลขประมูล",INDEX(Fee_รถยนต์_Bill!$B:$B,MATCH("ค่าขอใช้เลขทะเบียน - เลขประมูล",Fee_รถยนต์_Bill!$A:$A,0)),IF(AB67="ไม่ใช่เลขประมูล",INDEX(Fee_รถยนต์_Bill!$B:$B,MATCH("ค่าขอใช้เลขทะเบียน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7" s="5"/>
      <c r="AE67" s="15" t="str">
        <f>IF($K67="","",IF(AD67="ป้ายขาวดำ",INDEX(Fee_รถยนต์_Bill!$B:$B,MATCH("ค่าทำแผ่นป้ายทะเบียนใหม่ - ป้ายขาวดำ",Fee_รถยนต์_Bill!$A:$A,0)),IF(AD67="ป้ายประมูล",INDEX(Fee_รถยนต์_Bill!$B:$B,MATCH("ค่าทำแผ่นป้ายทะเบียนใหม่ - ป้ายประมูล",Fee_รถยนต์_Bill!$A:$A,0)),0)))</f>
        <v/>
      </c>
      <c r="AF67" s="5"/>
      <c r="AG67" s="15" t="str">
        <f>IF($K67="","",IF(AF67="ใช่",INDEX(Fee_รถยนต์_Bill!$B:$B,MATCH("ค่าย้ายออกต่างจังหวัด",Fee_รถยนต์_Bill!$A:$A,0)),0))</f>
        <v/>
      </c>
      <c r="AH67" s="15" t="str">
        <f t="shared" si="22"/>
        <v/>
      </c>
      <c r="AI67" s="5"/>
      <c r="AJ67" s="15" t="str">
        <f>IF($K67="","",IF(U67="รถยนต์",IF(AI67="ใช่",INDEX(Fee_รถยนต์_NoBill!$B:$B,MATCH("ค่าอากร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7" s="15" t="str">
        <f>IF($K67="","",IF(U67="รถยนต์",IFERROR(INDEX(Fee_รถยนต์_NoBill!$B:$B,MATCH("ลงขัน - "&amp;K67,Fee_รถยนต์_NoBill!$A:$A,0)),0),IFERROR(INDEX(Fee_จยย_NoBill!$B:$B,MATCH("ลงขัน - รย.12 ทุกประเภท (CC)",Fee_จยย_NoBill!$A:$A,0)),0)))</f>
        <v/>
      </c>
      <c r="AL67" s="5"/>
      <c r="AM67" s="15" t="str">
        <f>IF($K67="","",IF(AL67="ใช่",IF(U67="รถยนต์",INDEX(Fee_รถยนต์_NoBill!$B:$B,MATCH("งานด่วนเพิ่ม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7" s="15" t="str">
        <f t="shared" si="23"/>
        <v/>
      </c>
      <c r="AO67" s="16" t="str">
        <f t="shared" si="24"/>
        <v/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7" t="str">
        <f t="shared" si="25"/>
        <v/>
      </c>
      <c r="BB67" s="7" t="str">
        <f t="shared" si="26"/>
        <v/>
      </c>
    </row>
    <row r="68" spans="1:54" x14ac:dyDescent="0.3">
      <c r="A68" s="15" t="str">
        <f t="shared" si="18"/>
        <v/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15" t="str">
        <f t="shared" si="19"/>
        <v/>
      </c>
      <c r="O68" s="5"/>
      <c r="P68" s="15" t="str">
        <f>IF($K68="","",IF(O68="ตัดบัญชี",IFERROR(INDEX(Fee_ตัดบัญชี!$D:$D,MATCH(BB68,Fee_ตัดบัญชี!$C:$C,0)),0),0))</f>
        <v/>
      </c>
      <c r="Q68" s="15" t="str">
        <f>IF($K68="","",IF(O68="แจ้งย้าย",IFERROR(INDEX(Fee_แจ้งย้าย!$D:$D,MATCH(BB68,Fee_แจ้งย้าย!$C:$C,0)),0),0))</f>
        <v/>
      </c>
      <c r="R68" s="15" t="str">
        <f t="shared" si="20"/>
        <v/>
      </c>
      <c r="S68" s="5"/>
      <c r="T68" s="15" t="str">
        <f>IF($K68="","",IF(O68&lt;&gt;"ตัดบัญชี",0,IF(S68="กทม.",IFERROR(INDEX(Fee_ตรวจรถ_กทม!$D:$D,MATCH(BB68,Fee_ตรวจรถ_กทม!$C:$C,0)),0),IF(S68="ต่างจังหวัด",IFERROR(INDEX(Fee_ตรวจรถ_ตจว!$D:$D,MATCH(L68&amp;"|"&amp;K68,Fee_ตรวจรถ_ตจว!$C:$C,0)),0),0))))</f>
        <v/>
      </c>
      <c r="U68" s="15" t="str">
        <f t="shared" si="21"/>
        <v/>
      </c>
      <c r="V68" s="15" t="str">
        <f>IF($K68="","",IF(U68="รถยนต์",IF(N68="ใช่",INDEX(Fee_รถยนต์_Bill!$B:$B,MATCH("ค่าคำขอ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8" s="15" t="str">
        <f>IF($K68="","",IF(N68="ใช่",IF(U68="รถยนต์",INDEX(Fee_รถยนต์_Bill!$B:$B,MATCH("ค่าธรรมเนียมอื่นๆ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8" s="15" t="str">
        <f>IF($K68="","",IF(U68="รถยนต์",INDEX(Fee_รถยนต์_Bill!$B:$B,MATCH("ค่าตรวจสภาพรถ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8" s="15" t="str">
        <f>IF($K68="","",IF(U68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8" s="15" t="str">
        <f>IF($K68="","",IF(U68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8" s="5"/>
      <c r="AB68" s="5"/>
      <c r="AC68" s="15" t="str">
        <f>IF($K68="","",IF(AB68="เลขประมูล",INDEX(Fee_รถยนต์_Bill!$B:$B,MATCH("ค่าขอใช้เลขทะเบียน - เลขประมูล",Fee_รถยนต์_Bill!$A:$A,0)),IF(AB68="ไม่ใช่เลขประมูล",INDEX(Fee_รถยนต์_Bill!$B:$B,MATCH("ค่าขอใช้เลขทะเบียน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8" s="5"/>
      <c r="AE68" s="15" t="str">
        <f>IF($K68="","",IF(AD68="ป้ายขาวดำ",INDEX(Fee_รถยนต์_Bill!$B:$B,MATCH("ค่าทำแผ่นป้ายทะเบียนใหม่ - ป้ายขาวดำ",Fee_รถยนต์_Bill!$A:$A,0)),IF(AD68="ป้ายประมูล",INDEX(Fee_รถยนต์_Bill!$B:$B,MATCH("ค่าทำแผ่นป้ายทะเบียนใหม่ - ป้ายประมูล",Fee_รถยนต์_Bill!$A:$A,0)),0)))</f>
        <v/>
      </c>
      <c r="AF68" s="5"/>
      <c r="AG68" s="15" t="str">
        <f>IF($K68="","",IF(AF68="ใช่",INDEX(Fee_รถยนต์_Bill!$B:$B,MATCH("ค่าย้ายออกต่างจังหวัด",Fee_รถยนต์_Bill!$A:$A,0)),0))</f>
        <v/>
      </c>
      <c r="AH68" s="15" t="str">
        <f t="shared" si="22"/>
        <v/>
      </c>
      <c r="AI68" s="5"/>
      <c r="AJ68" s="15" t="str">
        <f>IF($K68="","",IF(U68="รถยนต์",IF(AI68="ใช่",INDEX(Fee_รถยนต์_NoBill!$B:$B,MATCH("ค่าอากร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8" s="15" t="str">
        <f>IF($K68="","",IF(U68="รถยนต์",IFERROR(INDEX(Fee_รถยนต์_NoBill!$B:$B,MATCH("ลงขัน - "&amp;K68,Fee_รถยนต์_NoBill!$A:$A,0)),0),IFERROR(INDEX(Fee_จยย_NoBill!$B:$B,MATCH("ลงขัน - รย.12 ทุกประเภท (CC)",Fee_จยย_NoBill!$A:$A,0)),0)))</f>
        <v/>
      </c>
      <c r="AL68" s="5"/>
      <c r="AM68" s="15" t="str">
        <f>IF($K68="","",IF(AL68="ใช่",IF(U68="รถยนต์",INDEX(Fee_รถยนต์_NoBill!$B:$B,MATCH("งานด่วนเพิ่ม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8" s="15" t="str">
        <f t="shared" si="23"/>
        <v/>
      </c>
      <c r="AO68" s="16" t="str">
        <f t="shared" si="24"/>
        <v/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7" t="str">
        <f t="shared" si="25"/>
        <v/>
      </c>
      <c r="BB68" s="7" t="str">
        <f t="shared" si="26"/>
        <v/>
      </c>
    </row>
    <row r="69" spans="1:54" x14ac:dyDescent="0.3">
      <c r="A69" s="15" t="str">
        <f t="shared" si="18"/>
        <v/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15" t="str">
        <f t="shared" si="19"/>
        <v/>
      </c>
      <c r="O69" s="5"/>
      <c r="P69" s="15" t="str">
        <f>IF($K69="","",IF(O69="ตัดบัญชี",IFERROR(INDEX(Fee_ตัดบัญชี!$D:$D,MATCH(BB69,Fee_ตัดบัญชี!$C:$C,0)),0),0))</f>
        <v/>
      </c>
      <c r="Q69" s="15" t="str">
        <f>IF($K69="","",IF(O69="แจ้งย้าย",IFERROR(INDEX(Fee_แจ้งย้าย!$D:$D,MATCH(BB69,Fee_แจ้งย้าย!$C:$C,0)),0),0))</f>
        <v/>
      </c>
      <c r="R69" s="15" t="str">
        <f t="shared" si="20"/>
        <v/>
      </c>
      <c r="S69" s="5"/>
      <c r="T69" s="15" t="str">
        <f>IF($K69="","",IF(O69&lt;&gt;"ตัดบัญชี",0,IF(S69="กทม.",IFERROR(INDEX(Fee_ตรวจรถ_กทม!$D:$D,MATCH(BB69,Fee_ตรวจรถ_กทม!$C:$C,0)),0),IF(S69="ต่างจังหวัด",IFERROR(INDEX(Fee_ตรวจรถ_ตจว!$D:$D,MATCH(L69&amp;"|"&amp;K69,Fee_ตรวจรถ_ตจว!$C:$C,0)),0),0))))</f>
        <v/>
      </c>
      <c r="U69" s="15" t="str">
        <f t="shared" si="21"/>
        <v/>
      </c>
      <c r="V69" s="15" t="str">
        <f>IF($K69="","",IF(U69="รถยนต์",IF(N69="ใช่",INDEX(Fee_รถยนต์_Bill!$B:$B,MATCH("ค่าคำขอ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(ปกติ)",Fee_รถยนต์_Bill!$A:$A,0))),IF(N69="ใช่",INDEX(Fee_จยย_Bill!$B:$B,MATCH("ค่าคำขอ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69" s="15" t="str">
        <f>IF($K69="","",IF(N69="ใช่",IF(U69="รถยนต์",INDEX(Fee_รถยนต์_Bill!$B:$B,MATCH("ค่าธรรมเนียมอื่นๆ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69" s="15" t="str">
        <f>IF($K69="","",IF(U69="รถยนต์",INDEX(Fee_รถยนต์_Bill!$B:$B,MATCH("ค่าตรวจสภาพรถ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69" s="15" t="str">
        <f>IF($K69="","",IF(U69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69" s="15" t="str">
        <f>IF($K69="","",IF(U69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69" s="5"/>
      <c r="AB69" s="5"/>
      <c r="AC69" s="15" t="str">
        <f>IF($K69="","",IF(AB69="เลขประมูล",INDEX(Fee_รถยนต์_Bill!$B:$B,MATCH("ค่าขอใช้เลขทะเบียน - เลขประมูล",Fee_รถยนต์_Bill!$A:$A,0)),IF(AB69="ไม่ใช่เลขประมูล",INDEX(Fee_รถยนต์_Bill!$B:$B,MATCH("ค่าขอใช้เลขทะเบียน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69" s="5"/>
      <c r="AE69" s="15" t="str">
        <f>IF($K69="","",IF(AD69="ป้ายขาวดำ",INDEX(Fee_รถยนต์_Bill!$B:$B,MATCH("ค่าทำแผ่นป้ายทะเบียนใหม่ - ป้ายขาวดำ",Fee_รถยนต์_Bill!$A:$A,0)),IF(AD69="ป้ายประมูล",INDEX(Fee_รถยนต์_Bill!$B:$B,MATCH("ค่าทำแผ่นป้ายทะเบียนใหม่ - ป้ายประมูล",Fee_รถยนต์_Bill!$A:$A,0)),0)))</f>
        <v/>
      </c>
      <c r="AF69" s="5"/>
      <c r="AG69" s="15" t="str">
        <f>IF($K69="","",IF(AF69="ใช่",INDEX(Fee_รถยนต์_Bill!$B:$B,MATCH("ค่าย้ายออกต่างจังหวัด",Fee_รถยนต์_Bill!$A:$A,0)),0))</f>
        <v/>
      </c>
      <c r="AH69" s="15" t="str">
        <f t="shared" si="22"/>
        <v/>
      </c>
      <c r="AI69" s="5"/>
      <c r="AJ69" s="15" t="str">
        <f>IF($K69="","",IF(U69="รถยนต์",IF(AI69="ใช่",INDEX(Fee_รถยนต์_NoBill!$B:$B,MATCH("ค่าอากร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(ปกติ)",Fee_รถยนต์_NoBill!$A:$A,0))),IF(AI69="ใช่",INDEX(Fee_จยย_NoBill!$B:$B,MATCH("ค่าอากร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69" s="15" t="str">
        <f>IF($K69="","",IF(U69="รถยนต์",IFERROR(INDEX(Fee_รถยนต์_NoBill!$B:$B,MATCH("ลงขัน - "&amp;K69,Fee_รถยนต์_NoBill!$A:$A,0)),0),IFERROR(INDEX(Fee_จยย_NoBill!$B:$B,MATCH("ลงขัน - รย.12 ทุกประเภท (CC)",Fee_จยย_NoBill!$A:$A,0)),0)))</f>
        <v/>
      </c>
      <c r="AL69" s="5"/>
      <c r="AM69" s="15" t="str">
        <f>IF($K69="","",IF(AL69="ใช่",IF(U69="รถยนต์",INDEX(Fee_รถยนต์_NoBill!$B:$B,MATCH("งานด่วนเพิ่ม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69" s="15" t="str">
        <f t="shared" si="23"/>
        <v/>
      </c>
      <c r="AO69" s="16" t="str">
        <f t="shared" si="24"/>
        <v/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7" t="str">
        <f t="shared" si="25"/>
        <v/>
      </c>
      <c r="BB69" s="7" t="str">
        <f t="shared" si="26"/>
        <v/>
      </c>
    </row>
    <row r="70" spans="1:54" x14ac:dyDescent="0.3">
      <c r="A70" s="15" t="str">
        <f t="shared" si="18"/>
        <v/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15" t="str">
        <f t="shared" si="19"/>
        <v/>
      </c>
      <c r="O70" s="5"/>
      <c r="P70" s="15" t="str">
        <f>IF($K70="","",IF(O70="ตัดบัญชี",IFERROR(INDEX(Fee_ตัดบัญชี!$D:$D,MATCH(BB70,Fee_ตัดบัญชี!$C:$C,0)),0),0))</f>
        <v/>
      </c>
      <c r="Q70" s="15" t="str">
        <f>IF($K70="","",IF(O70="แจ้งย้าย",IFERROR(INDEX(Fee_แจ้งย้าย!$D:$D,MATCH(BB70,Fee_แจ้งย้าย!$C:$C,0)),0),0))</f>
        <v/>
      </c>
      <c r="R70" s="15" t="str">
        <f t="shared" si="20"/>
        <v/>
      </c>
      <c r="S70" s="5"/>
      <c r="T70" s="15" t="str">
        <f>IF($K70="","",IF(O70&lt;&gt;"ตัดบัญชี",0,IF(S70="กทม.",IFERROR(INDEX(Fee_ตรวจรถ_กทม!$D:$D,MATCH(BB70,Fee_ตรวจรถ_กทม!$C:$C,0)),0),IF(S70="ต่างจังหวัด",IFERROR(INDEX(Fee_ตรวจรถ_ตจว!$D:$D,MATCH(L70&amp;"|"&amp;K70,Fee_ตรวจรถ_ตจว!$C:$C,0)),0),0))))</f>
        <v/>
      </c>
      <c r="U70" s="15" t="str">
        <f t="shared" si="21"/>
        <v/>
      </c>
      <c r="V70" s="15" t="str">
        <f>IF($K70="","",IF(U70="รถยนต์",IF(N70="ใช่",INDEX(Fee_รถยนต์_Bill!$B:$B,MATCH("ค่าคำขอ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0" s="15" t="str">
        <f>IF($K70="","",IF(N70="ใช่",IF(U70="รถยนต์",INDEX(Fee_รถยนต์_Bill!$B:$B,MATCH("ค่าธรรมเนียมอื่นๆ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0" s="15" t="str">
        <f>IF($K70="","",IF(U70="รถยนต์",INDEX(Fee_รถยนต์_Bill!$B:$B,MATCH("ค่าตรวจสภาพรถ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0" s="15" t="str">
        <f>IF($K70="","",IF(U70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0" s="15" t="str">
        <f>IF($K70="","",IF(U70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0" s="5"/>
      <c r="AB70" s="5"/>
      <c r="AC70" s="15" t="str">
        <f>IF($K70="","",IF(AB70="เลขประมูล",INDEX(Fee_รถยนต์_Bill!$B:$B,MATCH("ค่าขอใช้เลขทะเบียน - เลขประมูล",Fee_รถยนต์_Bill!$A:$A,0)),IF(AB70="ไม่ใช่เลขประมูล",INDEX(Fee_รถยนต์_Bill!$B:$B,MATCH("ค่าขอใช้เลขทะเบียน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0" s="5"/>
      <c r="AE70" s="15" t="str">
        <f>IF($K70="","",IF(AD70="ป้ายขาวดำ",INDEX(Fee_รถยนต์_Bill!$B:$B,MATCH("ค่าทำแผ่นป้ายทะเบียนใหม่ - ป้ายขาวดำ",Fee_รถยนต์_Bill!$A:$A,0)),IF(AD70="ป้ายประมูล",INDEX(Fee_รถยนต์_Bill!$B:$B,MATCH("ค่าทำแผ่นป้ายทะเบียนใหม่ - ป้ายประมูล",Fee_รถยนต์_Bill!$A:$A,0)),0)))</f>
        <v/>
      </c>
      <c r="AF70" s="5"/>
      <c r="AG70" s="15" t="str">
        <f>IF($K70="","",IF(AF70="ใช่",INDEX(Fee_รถยนต์_Bill!$B:$B,MATCH("ค่าย้ายออกต่างจังหวัด",Fee_รถยนต์_Bill!$A:$A,0)),0))</f>
        <v/>
      </c>
      <c r="AH70" s="15" t="str">
        <f t="shared" si="22"/>
        <v/>
      </c>
      <c r="AI70" s="5"/>
      <c r="AJ70" s="15" t="str">
        <f>IF($K70="","",IF(U70="รถยนต์",IF(AI70="ใช่",INDEX(Fee_รถยนต์_NoBill!$B:$B,MATCH("ค่าอากร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0" s="15" t="str">
        <f>IF($K70="","",IF(U70="รถยนต์",IFERROR(INDEX(Fee_รถยนต์_NoBill!$B:$B,MATCH("ลงขัน - "&amp;K70,Fee_รถยนต์_NoBill!$A:$A,0)),0),IFERROR(INDEX(Fee_จยย_NoBill!$B:$B,MATCH("ลงขัน - รย.12 ทุกประเภท (CC)",Fee_จยย_NoBill!$A:$A,0)),0)))</f>
        <v/>
      </c>
      <c r="AL70" s="5"/>
      <c r="AM70" s="15" t="str">
        <f>IF($K70="","",IF(AL70="ใช่",IF(U70="รถยนต์",INDEX(Fee_รถยนต์_NoBill!$B:$B,MATCH("งานด่วนเพิ่ม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0" s="15" t="str">
        <f t="shared" si="23"/>
        <v/>
      </c>
      <c r="AO70" s="16" t="str">
        <f t="shared" si="24"/>
        <v/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7" t="str">
        <f t="shared" si="25"/>
        <v/>
      </c>
      <c r="BB70" s="7" t="str">
        <f t="shared" si="26"/>
        <v/>
      </c>
    </row>
    <row r="71" spans="1:54" x14ac:dyDescent="0.3">
      <c r="A71" s="15" t="str">
        <f t="shared" si="18"/>
        <v/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15" t="str">
        <f t="shared" si="19"/>
        <v/>
      </c>
      <c r="O71" s="5"/>
      <c r="P71" s="15" t="str">
        <f>IF($K71="","",IF(O71="ตัดบัญชี",IFERROR(INDEX(Fee_ตัดบัญชี!$D:$D,MATCH(BB71,Fee_ตัดบัญชี!$C:$C,0)),0),0))</f>
        <v/>
      </c>
      <c r="Q71" s="15" t="str">
        <f>IF($K71="","",IF(O71="แจ้งย้าย",IFERROR(INDEX(Fee_แจ้งย้าย!$D:$D,MATCH(BB71,Fee_แจ้งย้าย!$C:$C,0)),0),0))</f>
        <v/>
      </c>
      <c r="R71" s="15" t="str">
        <f t="shared" si="20"/>
        <v/>
      </c>
      <c r="S71" s="5"/>
      <c r="T71" s="15" t="str">
        <f>IF($K71="","",IF(O71&lt;&gt;"ตัดบัญชี",0,IF(S71="กทม.",IFERROR(INDEX(Fee_ตรวจรถ_กทม!$D:$D,MATCH(BB71,Fee_ตรวจรถ_กทม!$C:$C,0)),0),IF(S71="ต่างจังหวัด",IFERROR(INDEX(Fee_ตรวจรถ_ตจว!$D:$D,MATCH(L71&amp;"|"&amp;K71,Fee_ตรวจรถ_ตจว!$C:$C,0)),0),0))))</f>
        <v/>
      </c>
      <c r="U71" s="15" t="str">
        <f t="shared" si="21"/>
        <v/>
      </c>
      <c r="V71" s="15" t="str">
        <f>IF($K71="","",IF(U71="รถยนต์",IF(N71="ใช่",INDEX(Fee_รถยนต์_Bill!$B:$B,MATCH("ค่าคำขอ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1" s="15" t="str">
        <f>IF($K71="","",IF(N71="ใช่",IF(U71="รถยนต์",INDEX(Fee_รถยนต์_Bill!$B:$B,MATCH("ค่าธรรมเนียมอื่นๆ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1" s="15" t="str">
        <f>IF($K71="","",IF(U71="รถยนต์",INDEX(Fee_รถยนต์_Bill!$B:$B,MATCH("ค่าตรวจสภาพรถ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1" s="15" t="str">
        <f>IF($K71="","",IF(U71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1" s="15" t="str">
        <f>IF($K71="","",IF(U71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1" s="5"/>
      <c r="AB71" s="5"/>
      <c r="AC71" s="15" t="str">
        <f>IF($K71="","",IF(AB71="เลขประมูล",INDEX(Fee_รถยนต์_Bill!$B:$B,MATCH("ค่าขอใช้เลขทะเบียน - เลขประมูล",Fee_รถยนต์_Bill!$A:$A,0)),IF(AB71="ไม่ใช่เลขประมูล",INDEX(Fee_รถยนต์_Bill!$B:$B,MATCH("ค่าขอใช้เลขทะเบียน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1" s="5"/>
      <c r="AE71" s="15" t="str">
        <f>IF($K71="","",IF(AD71="ป้ายขาวดำ",INDEX(Fee_รถยนต์_Bill!$B:$B,MATCH("ค่าทำแผ่นป้ายทะเบียนใหม่ - ป้ายขาวดำ",Fee_รถยนต์_Bill!$A:$A,0)),IF(AD71="ป้ายประมูล",INDEX(Fee_รถยนต์_Bill!$B:$B,MATCH("ค่าทำแผ่นป้ายทะเบียนใหม่ - ป้ายประมูล",Fee_รถยนต์_Bill!$A:$A,0)),0)))</f>
        <v/>
      </c>
      <c r="AF71" s="5"/>
      <c r="AG71" s="15" t="str">
        <f>IF($K71="","",IF(AF71="ใช่",INDEX(Fee_รถยนต์_Bill!$B:$B,MATCH("ค่าย้ายออกต่างจังหวัด",Fee_รถยนต์_Bill!$A:$A,0)),0))</f>
        <v/>
      </c>
      <c r="AH71" s="15" t="str">
        <f t="shared" si="22"/>
        <v/>
      </c>
      <c r="AI71" s="5"/>
      <c r="AJ71" s="15" t="str">
        <f>IF($K71="","",IF(U71="รถยนต์",IF(AI71="ใช่",INDEX(Fee_รถยนต์_NoBill!$B:$B,MATCH("ค่าอากร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1" s="15" t="str">
        <f>IF($K71="","",IF(U71="รถยนต์",IFERROR(INDEX(Fee_รถยนต์_NoBill!$B:$B,MATCH("ลงขัน - "&amp;K71,Fee_รถยนต์_NoBill!$A:$A,0)),0),IFERROR(INDEX(Fee_จยย_NoBill!$B:$B,MATCH("ลงขัน - รย.12 ทุกประเภท (CC)",Fee_จยย_NoBill!$A:$A,0)),0)))</f>
        <v/>
      </c>
      <c r="AL71" s="5"/>
      <c r="AM71" s="15" t="str">
        <f>IF($K71="","",IF(AL71="ใช่",IF(U71="รถยนต์",INDEX(Fee_รถยนต์_NoBill!$B:$B,MATCH("งานด่วนเพิ่ม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1" s="15" t="str">
        <f t="shared" si="23"/>
        <v/>
      </c>
      <c r="AO71" s="16" t="str">
        <f t="shared" si="24"/>
        <v/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7" t="str">
        <f t="shared" si="25"/>
        <v/>
      </c>
      <c r="BB71" s="7" t="str">
        <f t="shared" si="26"/>
        <v/>
      </c>
    </row>
    <row r="72" spans="1:54" x14ac:dyDescent="0.3">
      <c r="A72" s="15" t="str">
        <f t="shared" si="18"/>
        <v/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15" t="str">
        <f t="shared" si="19"/>
        <v/>
      </c>
      <c r="O72" s="5"/>
      <c r="P72" s="15" t="str">
        <f>IF($K72="","",IF(O72="ตัดบัญชี",IFERROR(INDEX(Fee_ตัดบัญชี!$D:$D,MATCH(BB72,Fee_ตัดบัญชี!$C:$C,0)),0),0))</f>
        <v/>
      </c>
      <c r="Q72" s="15" t="str">
        <f>IF($K72="","",IF(O72="แจ้งย้าย",IFERROR(INDEX(Fee_แจ้งย้าย!$D:$D,MATCH(BB72,Fee_แจ้งย้าย!$C:$C,0)),0),0))</f>
        <v/>
      </c>
      <c r="R72" s="15" t="str">
        <f t="shared" si="20"/>
        <v/>
      </c>
      <c r="S72" s="5"/>
      <c r="T72" s="15" t="str">
        <f>IF($K72="","",IF(O72&lt;&gt;"ตัดบัญชี",0,IF(S72="กทม.",IFERROR(INDEX(Fee_ตรวจรถ_กทม!$D:$D,MATCH(BB72,Fee_ตรวจรถ_กทม!$C:$C,0)),0),IF(S72="ต่างจังหวัด",IFERROR(INDEX(Fee_ตรวจรถ_ตจว!$D:$D,MATCH(L72&amp;"|"&amp;K72,Fee_ตรวจรถ_ตจว!$C:$C,0)),0),0))))</f>
        <v/>
      </c>
      <c r="U72" s="15" t="str">
        <f t="shared" si="21"/>
        <v/>
      </c>
      <c r="V72" s="15" t="str">
        <f>IF($K72="","",IF(U72="รถยนต์",IF(N72="ใช่",INDEX(Fee_รถยนต์_Bill!$B:$B,MATCH("ค่าคำขอ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(ปกติ)",Fee_รถยนต์_Bill!$A:$A,0))),IF(N72="ใช่",INDEX(Fee_จยย_Bill!$B:$B,MATCH("ค่าคำขอ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2" s="15" t="str">
        <f>IF($K72="","",IF(N72="ใช่",IF(U72="รถยนต์",INDEX(Fee_รถยนต์_Bill!$B:$B,MATCH("ค่าธรรมเนียมอื่นๆ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2" s="15" t="str">
        <f>IF($K72="","",IF(U72="รถยนต์",INDEX(Fee_รถยนต์_Bill!$B:$B,MATCH("ค่าตรวจสภาพรถ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2" s="15" t="str">
        <f>IF($K72="","",IF(U72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2" s="15" t="str">
        <f>IF($K72="","",IF(U72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2" s="5"/>
      <c r="AB72" s="5"/>
      <c r="AC72" s="15" t="str">
        <f>IF($K72="","",IF(AB72="เลขประมูล",INDEX(Fee_รถยนต์_Bill!$B:$B,MATCH("ค่าขอใช้เลขทะเบียน - เลขประมูล",Fee_รถยนต์_Bill!$A:$A,0)),IF(AB72="ไม่ใช่เลขประมูล",INDEX(Fee_รถยนต์_Bill!$B:$B,MATCH("ค่าขอใช้เลขทะเบียน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2" s="5"/>
      <c r="AE72" s="15" t="str">
        <f>IF($K72="","",IF(AD72="ป้ายขาวดำ",INDEX(Fee_รถยนต์_Bill!$B:$B,MATCH("ค่าทำแผ่นป้ายทะเบียนใหม่ - ป้ายขาวดำ",Fee_รถยนต์_Bill!$A:$A,0)),IF(AD72="ป้ายประมูล",INDEX(Fee_รถยนต์_Bill!$B:$B,MATCH("ค่าทำแผ่นป้ายทะเบียนใหม่ - ป้ายประมูล",Fee_รถยนต์_Bill!$A:$A,0)),0)))</f>
        <v/>
      </c>
      <c r="AF72" s="5"/>
      <c r="AG72" s="15" t="str">
        <f>IF($K72="","",IF(AF72="ใช่",INDEX(Fee_รถยนต์_Bill!$B:$B,MATCH("ค่าย้ายออกต่างจังหวัด",Fee_รถยนต์_Bill!$A:$A,0)),0))</f>
        <v/>
      </c>
      <c r="AH72" s="15" t="str">
        <f t="shared" si="22"/>
        <v/>
      </c>
      <c r="AI72" s="5"/>
      <c r="AJ72" s="15" t="str">
        <f>IF($K72="","",IF(U72="รถยนต์",IF(AI72="ใช่",INDEX(Fee_รถยนต์_NoBill!$B:$B,MATCH("ค่าอากร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2" s="15" t="str">
        <f>IF($K72="","",IF(U72="รถยนต์",IFERROR(INDEX(Fee_รถยนต์_NoBill!$B:$B,MATCH("ลงขัน - "&amp;K72,Fee_รถยนต์_NoBill!$A:$A,0)),0),IFERROR(INDEX(Fee_จยย_NoBill!$B:$B,MATCH("ลงขัน - รย.12 ทุกประเภท (CC)",Fee_จยย_NoBill!$A:$A,0)),0)))</f>
        <v/>
      </c>
      <c r="AL72" s="5"/>
      <c r="AM72" s="15" t="str">
        <f>IF($K72="","",IF(AL72="ใช่",IF(U72="รถยนต์",INDEX(Fee_รถยนต์_NoBill!$B:$B,MATCH("งานด่วนเพิ่ม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2" s="15" t="str">
        <f t="shared" si="23"/>
        <v/>
      </c>
      <c r="AO72" s="16" t="str">
        <f t="shared" si="24"/>
        <v/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7" t="str">
        <f t="shared" si="25"/>
        <v/>
      </c>
      <c r="BB72" s="7" t="str">
        <f t="shared" si="26"/>
        <v/>
      </c>
    </row>
    <row r="73" spans="1:54" x14ac:dyDescent="0.3">
      <c r="A73" s="15" t="str">
        <f t="shared" si="18"/>
        <v/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15" t="str">
        <f t="shared" si="19"/>
        <v/>
      </c>
      <c r="O73" s="5"/>
      <c r="P73" s="15" t="str">
        <f>IF($K73="","",IF(O73="ตัดบัญชี",IFERROR(INDEX(Fee_ตัดบัญชี!$D:$D,MATCH(BB73,Fee_ตัดบัญชี!$C:$C,0)),0),0))</f>
        <v/>
      </c>
      <c r="Q73" s="15" t="str">
        <f>IF($K73="","",IF(O73="แจ้งย้าย",IFERROR(INDEX(Fee_แจ้งย้าย!$D:$D,MATCH(BB73,Fee_แจ้งย้าย!$C:$C,0)),0),0))</f>
        <v/>
      </c>
      <c r="R73" s="15" t="str">
        <f t="shared" si="20"/>
        <v/>
      </c>
      <c r="S73" s="5"/>
      <c r="T73" s="15" t="str">
        <f>IF($K73="","",IF(O73&lt;&gt;"ตัดบัญชี",0,IF(S73="กทม.",IFERROR(INDEX(Fee_ตรวจรถ_กทม!$D:$D,MATCH(BB73,Fee_ตรวจรถ_กทม!$C:$C,0)),0),IF(S73="ต่างจังหวัด",IFERROR(INDEX(Fee_ตรวจรถ_ตจว!$D:$D,MATCH(L73&amp;"|"&amp;K73,Fee_ตรวจรถ_ตจว!$C:$C,0)),0),0))))</f>
        <v/>
      </c>
      <c r="U73" s="15" t="str">
        <f t="shared" si="21"/>
        <v/>
      </c>
      <c r="V73" s="15" t="str">
        <f>IF($K73="","",IF(U73="รถยนต์",IF(N73="ใช่",INDEX(Fee_รถยนต์_Bill!$B:$B,MATCH("ค่าคำขอ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3" s="15" t="str">
        <f>IF($K73="","",IF(N73="ใช่",IF(U73="รถยนต์",INDEX(Fee_รถยนต์_Bill!$B:$B,MATCH("ค่าธรรมเนียมอื่นๆ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3" s="15" t="str">
        <f>IF($K73="","",IF(U73="รถยนต์",INDEX(Fee_รถยนต์_Bill!$B:$B,MATCH("ค่าตรวจสภาพรถ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3" s="15" t="str">
        <f>IF($K73="","",IF(U73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3" s="15" t="str">
        <f>IF($K73="","",IF(U73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3" s="5"/>
      <c r="AB73" s="5"/>
      <c r="AC73" s="15" t="str">
        <f>IF($K73="","",IF(AB73="เลขประมูล",INDEX(Fee_รถยนต์_Bill!$B:$B,MATCH("ค่าขอใช้เลขทะเบียน - เลขประมูล",Fee_รถยนต์_Bill!$A:$A,0)),IF(AB73="ไม่ใช่เลขประมูล",INDEX(Fee_รถยนต์_Bill!$B:$B,MATCH("ค่าขอใช้เลขทะเบียน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3" s="5"/>
      <c r="AE73" s="15" t="str">
        <f>IF($K73="","",IF(AD73="ป้ายขาวดำ",INDEX(Fee_รถยนต์_Bill!$B:$B,MATCH("ค่าทำแผ่นป้ายทะเบียนใหม่ - ป้ายขาวดำ",Fee_รถยนต์_Bill!$A:$A,0)),IF(AD73="ป้ายประมูล",INDEX(Fee_รถยนต์_Bill!$B:$B,MATCH("ค่าทำแผ่นป้ายทะเบียนใหม่ - ป้ายประมูล",Fee_รถยนต์_Bill!$A:$A,0)),0)))</f>
        <v/>
      </c>
      <c r="AF73" s="5"/>
      <c r="AG73" s="15" t="str">
        <f>IF($K73="","",IF(AF73="ใช่",INDEX(Fee_รถยนต์_Bill!$B:$B,MATCH("ค่าย้ายออกต่างจังหวัด",Fee_รถยนต์_Bill!$A:$A,0)),0))</f>
        <v/>
      </c>
      <c r="AH73" s="15" t="str">
        <f t="shared" si="22"/>
        <v/>
      </c>
      <c r="AI73" s="5"/>
      <c r="AJ73" s="15" t="str">
        <f>IF($K73="","",IF(U73="รถยนต์",IF(AI73="ใช่",INDEX(Fee_รถยนต์_NoBill!$B:$B,MATCH("ค่าอากร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3" s="15" t="str">
        <f>IF($K73="","",IF(U73="รถยนต์",IFERROR(INDEX(Fee_รถยนต์_NoBill!$B:$B,MATCH("ลงขัน - "&amp;K73,Fee_รถยนต์_NoBill!$A:$A,0)),0),IFERROR(INDEX(Fee_จยย_NoBill!$B:$B,MATCH("ลงขัน - รย.12 ทุกประเภท (CC)",Fee_จยย_NoBill!$A:$A,0)),0)))</f>
        <v/>
      </c>
      <c r="AL73" s="5"/>
      <c r="AM73" s="15" t="str">
        <f>IF($K73="","",IF(AL73="ใช่",IF(U73="รถยนต์",INDEX(Fee_รถยนต์_NoBill!$B:$B,MATCH("งานด่วนเพิ่ม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3" s="15" t="str">
        <f t="shared" si="23"/>
        <v/>
      </c>
      <c r="AO73" s="16" t="str">
        <f t="shared" si="24"/>
        <v/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7" t="str">
        <f t="shared" si="25"/>
        <v/>
      </c>
      <c r="BB73" s="7" t="str">
        <f t="shared" si="26"/>
        <v/>
      </c>
    </row>
    <row r="74" spans="1:54" x14ac:dyDescent="0.3">
      <c r="A74" s="15" t="str">
        <f t="shared" si="18"/>
        <v/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15" t="str">
        <f t="shared" si="19"/>
        <v/>
      </c>
      <c r="O74" s="5"/>
      <c r="P74" s="15" t="str">
        <f>IF($K74="","",IF(O74="ตัดบัญชี",IFERROR(INDEX(Fee_ตัดบัญชี!$D:$D,MATCH(BB74,Fee_ตัดบัญชี!$C:$C,0)),0),0))</f>
        <v/>
      </c>
      <c r="Q74" s="15" t="str">
        <f>IF($K74="","",IF(O74="แจ้งย้าย",IFERROR(INDEX(Fee_แจ้งย้าย!$D:$D,MATCH(BB74,Fee_แจ้งย้าย!$C:$C,0)),0),0))</f>
        <v/>
      </c>
      <c r="R74" s="15" t="str">
        <f t="shared" si="20"/>
        <v/>
      </c>
      <c r="S74" s="5"/>
      <c r="T74" s="15" t="str">
        <f>IF($K74="","",IF(O74&lt;&gt;"ตัดบัญชี",0,IF(S74="กทม.",IFERROR(INDEX(Fee_ตรวจรถ_กทม!$D:$D,MATCH(BB74,Fee_ตรวจรถ_กทม!$C:$C,0)),0),IF(S74="ต่างจังหวัด",IFERROR(INDEX(Fee_ตรวจรถ_ตจว!$D:$D,MATCH(L74&amp;"|"&amp;K74,Fee_ตรวจรถ_ตจว!$C:$C,0)),0),0))))</f>
        <v/>
      </c>
      <c r="U74" s="15" t="str">
        <f t="shared" si="21"/>
        <v/>
      </c>
      <c r="V74" s="15" t="str">
        <f>IF($K74="","",IF(U74="รถยนต์",IF(N74="ใช่",INDEX(Fee_รถยนต์_Bill!$B:$B,MATCH("ค่าคำขอ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4" s="15" t="str">
        <f>IF($K74="","",IF(N74="ใช่",IF(U74="รถยนต์",INDEX(Fee_รถยนต์_Bill!$B:$B,MATCH("ค่าธรรมเนียมอื่นๆ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4" s="15" t="str">
        <f>IF($K74="","",IF(U74="รถยนต์",INDEX(Fee_รถยนต์_Bill!$B:$B,MATCH("ค่าตรวจสภาพรถ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4" s="15" t="str">
        <f>IF($K74="","",IF(U74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4" s="15" t="str">
        <f>IF($K74="","",IF(U74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4" s="5"/>
      <c r="AB74" s="5"/>
      <c r="AC74" s="15" t="str">
        <f>IF($K74="","",IF(AB74="เลขประมูล",INDEX(Fee_รถยนต์_Bill!$B:$B,MATCH("ค่าขอใช้เลขทะเบียน - เลขประมูล",Fee_รถยนต์_Bill!$A:$A,0)),IF(AB74="ไม่ใช่เลขประมูล",INDEX(Fee_รถยนต์_Bill!$B:$B,MATCH("ค่าขอใช้เลขทะเบียน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4" s="5"/>
      <c r="AE74" s="15" t="str">
        <f>IF($K74="","",IF(AD74="ป้ายขาวดำ",INDEX(Fee_รถยนต์_Bill!$B:$B,MATCH("ค่าทำแผ่นป้ายทะเบียนใหม่ - ป้ายขาวดำ",Fee_รถยนต์_Bill!$A:$A,0)),IF(AD74="ป้ายประมูล",INDEX(Fee_รถยนต์_Bill!$B:$B,MATCH("ค่าทำแผ่นป้ายทะเบียนใหม่ - ป้ายประมูล",Fee_รถยนต์_Bill!$A:$A,0)),0)))</f>
        <v/>
      </c>
      <c r="AF74" s="5"/>
      <c r="AG74" s="15" t="str">
        <f>IF($K74="","",IF(AF74="ใช่",INDEX(Fee_รถยนต์_Bill!$B:$B,MATCH("ค่าย้ายออกต่างจังหวัด",Fee_รถยนต์_Bill!$A:$A,0)),0))</f>
        <v/>
      </c>
      <c r="AH74" s="15" t="str">
        <f t="shared" si="22"/>
        <v/>
      </c>
      <c r="AI74" s="5"/>
      <c r="AJ74" s="15" t="str">
        <f>IF($K74="","",IF(U74="รถยนต์",IF(AI74="ใช่",INDEX(Fee_รถยนต์_NoBill!$B:$B,MATCH("ค่าอากร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4" s="15" t="str">
        <f>IF($K74="","",IF(U74="รถยนต์",IFERROR(INDEX(Fee_รถยนต์_NoBill!$B:$B,MATCH("ลงขัน - "&amp;K74,Fee_รถยนต์_NoBill!$A:$A,0)),0),IFERROR(INDEX(Fee_จยย_NoBill!$B:$B,MATCH("ลงขัน - รย.12 ทุกประเภท (CC)",Fee_จยย_NoBill!$A:$A,0)),0)))</f>
        <v/>
      </c>
      <c r="AL74" s="5"/>
      <c r="AM74" s="15" t="str">
        <f>IF($K74="","",IF(AL74="ใช่",IF(U74="รถยนต์",INDEX(Fee_รถยนต์_NoBill!$B:$B,MATCH("งานด่วนเพิ่ม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4" s="15" t="str">
        <f t="shared" si="23"/>
        <v/>
      </c>
      <c r="AO74" s="16" t="str">
        <f t="shared" si="24"/>
        <v/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7" t="str">
        <f t="shared" si="25"/>
        <v/>
      </c>
      <c r="BB74" s="7" t="str">
        <f t="shared" si="26"/>
        <v/>
      </c>
    </row>
    <row r="75" spans="1:54" x14ac:dyDescent="0.3">
      <c r="A75" s="15" t="str">
        <f t="shared" si="18"/>
        <v/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15" t="str">
        <f t="shared" si="19"/>
        <v/>
      </c>
      <c r="O75" s="5"/>
      <c r="P75" s="15" t="str">
        <f>IF($K75="","",IF(O75="ตัดบัญชี",IFERROR(INDEX(Fee_ตัดบัญชี!$D:$D,MATCH(BB75,Fee_ตัดบัญชี!$C:$C,0)),0),0))</f>
        <v/>
      </c>
      <c r="Q75" s="15" t="str">
        <f>IF($K75="","",IF(O75="แจ้งย้าย",IFERROR(INDEX(Fee_แจ้งย้าย!$D:$D,MATCH(BB75,Fee_แจ้งย้าย!$C:$C,0)),0),0))</f>
        <v/>
      </c>
      <c r="R75" s="15" t="str">
        <f t="shared" si="20"/>
        <v/>
      </c>
      <c r="S75" s="5"/>
      <c r="T75" s="15" t="str">
        <f>IF($K75="","",IF(O75&lt;&gt;"ตัดบัญชี",0,IF(S75="กทม.",IFERROR(INDEX(Fee_ตรวจรถ_กทม!$D:$D,MATCH(BB75,Fee_ตรวจรถ_กทม!$C:$C,0)),0),IF(S75="ต่างจังหวัด",IFERROR(INDEX(Fee_ตรวจรถ_ตจว!$D:$D,MATCH(L75&amp;"|"&amp;K75,Fee_ตรวจรถ_ตจว!$C:$C,0)),0),0))))</f>
        <v/>
      </c>
      <c r="U75" s="15" t="str">
        <f t="shared" si="21"/>
        <v/>
      </c>
      <c r="V75" s="15" t="str">
        <f>IF($K75="","",IF(U75="รถยนต์",IF(N75="ใช่",INDEX(Fee_รถยนต์_Bill!$B:$B,MATCH("ค่าคำขอ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5" s="15" t="str">
        <f>IF($K75="","",IF(N75="ใช่",IF(U75="รถยนต์",INDEX(Fee_รถยนต์_Bill!$B:$B,MATCH("ค่าธรรมเนียมอื่นๆ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5" s="15" t="str">
        <f>IF($K75="","",IF(U75="รถยนต์",INDEX(Fee_รถยนต์_Bill!$B:$B,MATCH("ค่าตรวจสภาพรถ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5" s="15" t="str">
        <f>IF($K75="","",IF(U75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5" s="15" t="str">
        <f>IF($K75="","",IF(U75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5" s="5"/>
      <c r="AB75" s="5"/>
      <c r="AC75" s="15" t="str">
        <f>IF($K75="","",IF(AB75="เลขประมูล",INDEX(Fee_รถยนต์_Bill!$B:$B,MATCH("ค่าขอใช้เลขทะเบียน - เลขประมูล",Fee_รถยนต์_Bill!$A:$A,0)),IF(AB75="ไม่ใช่เลขประมูล",INDEX(Fee_รถยนต์_Bill!$B:$B,MATCH("ค่าขอใช้เลขทะเบียน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5" s="5"/>
      <c r="AE75" s="15" t="str">
        <f>IF($K75="","",IF(AD75="ป้ายขาวดำ",INDEX(Fee_รถยนต์_Bill!$B:$B,MATCH("ค่าทำแผ่นป้ายทะเบียนใหม่ - ป้ายขาวดำ",Fee_รถยนต์_Bill!$A:$A,0)),IF(AD75="ป้ายประมูล",INDEX(Fee_รถยนต์_Bill!$B:$B,MATCH("ค่าทำแผ่นป้ายทะเบียนใหม่ - ป้ายประมูล",Fee_รถยนต์_Bill!$A:$A,0)),0)))</f>
        <v/>
      </c>
      <c r="AF75" s="5"/>
      <c r="AG75" s="15" t="str">
        <f>IF($K75="","",IF(AF75="ใช่",INDEX(Fee_รถยนต์_Bill!$B:$B,MATCH("ค่าย้ายออกต่างจังหวัด",Fee_รถยนต์_Bill!$A:$A,0)),0))</f>
        <v/>
      </c>
      <c r="AH75" s="15" t="str">
        <f t="shared" si="22"/>
        <v/>
      </c>
      <c r="AI75" s="5"/>
      <c r="AJ75" s="15" t="str">
        <f>IF($K75="","",IF(U75="รถยนต์",IF(AI75="ใช่",INDEX(Fee_รถยนต์_NoBill!$B:$B,MATCH("ค่าอากร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5" s="15" t="str">
        <f>IF($K75="","",IF(U75="รถยนต์",IFERROR(INDEX(Fee_รถยนต์_NoBill!$B:$B,MATCH("ลงขัน - "&amp;K75,Fee_รถยนต์_NoBill!$A:$A,0)),0),IFERROR(INDEX(Fee_จยย_NoBill!$B:$B,MATCH("ลงขัน - รย.12 ทุกประเภท (CC)",Fee_จยย_NoBill!$A:$A,0)),0)))</f>
        <v/>
      </c>
      <c r="AL75" s="5"/>
      <c r="AM75" s="15" t="str">
        <f>IF($K75="","",IF(AL75="ใช่",IF(U75="รถยนต์",INDEX(Fee_รถยนต์_NoBill!$B:$B,MATCH("งานด่วนเพิ่ม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5" s="15" t="str">
        <f t="shared" si="23"/>
        <v/>
      </c>
      <c r="AO75" s="16" t="str">
        <f t="shared" si="24"/>
        <v/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7" t="str">
        <f t="shared" si="25"/>
        <v/>
      </c>
      <c r="BB75" s="7" t="str">
        <f t="shared" si="26"/>
        <v/>
      </c>
    </row>
    <row r="76" spans="1:54" x14ac:dyDescent="0.3">
      <c r="A76" s="15" t="str">
        <f t="shared" si="18"/>
        <v/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15" t="str">
        <f t="shared" si="19"/>
        <v/>
      </c>
      <c r="O76" s="5"/>
      <c r="P76" s="15" t="str">
        <f>IF($K76="","",IF(O76="ตัดบัญชี",IFERROR(INDEX(Fee_ตัดบัญชี!$D:$D,MATCH(BB76,Fee_ตัดบัญชี!$C:$C,0)),0),0))</f>
        <v/>
      </c>
      <c r="Q76" s="15" t="str">
        <f>IF($K76="","",IF(O76="แจ้งย้าย",IFERROR(INDEX(Fee_แจ้งย้าย!$D:$D,MATCH(BB76,Fee_แจ้งย้าย!$C:$C,0)),0),0))</f>
        <v/>
      </c>
      <c r="R76" s="15" t="str">
        <f t="shared" si="20"/>
        <v/>
      </c>
      <c r="S76" s="5"/>
      <c r="T76" s="15" t="str">
        <f>IF($K76="","",IF(O76&lt;&gt;"ตัดบัญชี",0,IF(S76="กทม.",IFERROR(INDEX(Fee_ตรวจรถ_กทม!$D:$D,MATCH(BB76,Fee_ตรวจรถ_กทม!$C:$C,0)),0),IF(S76="ต่างจังหวัด",IFERROR(INDEX(Fee_ตรวจรถ_ตจว!$D:$D,MATCH(L76&amp;"|"&amp;K76,Fee_ตรวจรถ_ตจว!$C:$C,0)),0),0))))</f>
        <v/>
      </c>
      <c r="U76" s="15" t="str">
        <f t="shared" si="21"/>
        <v/>
      </c>
      <c r="V76" s="15" t="str">
        <f>IF($K76="","",IF(U76="รถยนต์",IF(N76="ใช่",INDEX(Fee_รถยนต์_Bill!$B:$B,MATCH("ค่าคำขอ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6" s="15" t="str">
        <f>IF($K76="","",IF(N76="ใช่",IF(U76="รถยนต์",INDEX(Fee_รถยนต์_Bill!$B:$B,MATCH("ค่าธรรมเนียมอื่นๆ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6" s="15" t="str">
        <f>IF($K76="","",IF(U76="รถยนต์",INDEX(Fee_รถยนต์_Bill!$B:$B,MATCH("ค่าตรวจสภาพรถ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6" s="15" t="str">
        <f>IF($K76="","",IF(U76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6" s="15" t="str">
        <f>IF($K76="","",IF(U76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6" s="5"/>
      <c r="AB76" s="5"/>
      <c r="AC76" s="15" t="str">
        <f>IF($K76="","",IF(AB76="เลขประมูล",INDEX(Fee_รถยนต์_Bill!$B:$B,MATCH("ค่าขอใช้เลขทะเบียน - เลขประมูล",Fee_รถยนต์_Bill!$A:$A,0)),IF(AB76="ไม่ใช่เลขประมูล",INDEX(Fee_รถยนต์_Bill!$B:$B,MATCH("ค่าขอใช้เลขทะเบียน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6" s="5"/>
      <c r="AE76" s="15" t="str">
        <f>IF($K76="","",IF(AD76="ป้ายขาวดำ",INDEX(Fee_รถยนต์_Bill!$B:$B,MATCH("ค่าทำแผ่นป้ายทะเบียนใหม่ - ป้ายขาวดำ",Fee_รถยนต์_Bill!$A:$A,0)),IF(AD76="ป้ายประมูล",INDEX(Fee_รถยนต์_Bill!$B:$B,MATCH("ค่าทำแผ่นป้ายทะเบียนใหม่ - ป้ายประมูล",Fee_รถยนต์_Bill!$A:$A,0)),0)))</f>
        <v/>
      </c>
      <c r="AF76" s="5"/>
      <c r="AG76" s="15" t="str">
        <f>IF($K76="","",IF(AF76="ใช่",INDEX(Fee_รถยนต์_Bill!$B:$B,MATCH("ค่าย้ายออกต่างจังหวัด",Fee_รถยนต์_Bill!$A:$A,0)),0))</f>
        <v/>
      </c>
      <c r="AH76" s="15" t="str">
        <f t="shared" si="22"/>
        <v/>
      </c>
      <c r="AI76" s="5"/>
      <c r="AJ76" s="15" t="str">
        <f>IF($K76="","",IF(U76="รถยนต์",IF(AI76="ใช่",INDEX(Fee_รถยนต์_NoBill!$B:$B,MATCH("ค่าอากร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6" s="15" t="str">
        <f>IF($K76="","",IF(U76="รถยนต์",IFERROR(INDEX(Fee_รถยนต์_NoBill!$B:$B,MATCH("ลงขัน - "&amp;K76,Fee_รถยนต์_NoBill!$A:$A,0)),0),IFERROR(INDEX(Fee_จยย_NoBill!$B:$B,MATCH("ลงขัน - รย.12 ทุกประเภท (CC)",Fee_จยย_NoBill!$A:$A,0)),0)))</f>
        <v/>
      </c>
      <c r="AL76" s="5"/>
      <c r="AM76" s="15" t="str">
        <f>IF($K76="","",IF(AL76="ใช่",IF(U76="รถยนต์",INDEX(Fee_รถยนต์_NoBill!$B:$B,MATCH("งานด่วนเพิ่ม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6" s="15" t="str">
        <f t="shared" si="23"/>
        <v/>
      </c>
      <c r="AO76" s="16" t="str">
        <f t="shared" si="24"/>
        <v/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7" t="str">
        <f t="shared" si="25"/>
        <v/>
      </c>
      <c r="BB76" s="7" t="str">
        <f t="shared" si="26"/>
        <v/>
      </c>
    </row>
    <row r="77" spans="1:54" x14ac:dyDescent="0.3">
      <c r="A77" s="15" t="str">
        <f t="shared" si="18"/>
        <v/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15" t="str">
        <f t="shared" si="19"/>
        <v/>
      </c>
      <c r="O77" s="5"/>
      <c r="P77" s="15" t="str">
        <f>IF($K77="","",IF(O77="ตัดบัญชี",IFERROR(INDEX(Fee_ตัดบัญชี!$D:$D,MATCH(BB77,Fee_ตัดบัญชี!$C:$C,0)),0),0))</f>
        <v/>
      </c>
      <c r="Q77" s="15" t="str">
        <f>IF($K77="","",IF(O77="แจ้งย้าย",IFERROR(INDEX(Fee_แจ้งย้าย!$D:$D,MATCH(BB77,Fee_แจ้งย้าย!$C:$C,0)),0),0))</f>
        <v/>
      </c>
      <c r="R77" s="15" t="str">
        <f t="shared" si="20"/>
        <v/>
      </c>
      <c r="S77" s="5"/>
      <c r="T77" s="15" t="str">
        <f>IF($K77="","",IF(O77&lt;&gt;"ตัดบัญชี",0,IF(S77="กทม.",IFERROR(INDEX(Fee_ตรวจรถ_กทม!$D:$D,MATCH(BB77,Fee_ตรวจรถ_กทม!$C:$C,0)),0),IF(S77="ต่างจังหวัด",IFERROR(INDEX(Fee_ตรวจรถ_ตจว!$D:$D,MATCH(L77&amp;"|"&amp;K77,Fee_ตรวจรถ_ตจว!$C:$C,0)),0),0))))</f>
        <v/>
      </c>
      <c r="U77" s="15" t="str">
        <f t="shared" si="21"/>
        <v/>
      </c>
      <c r="V77" s="15" t="str">
        <f>IF($K77="","",IF(U77="รถยนต์",IF(N77="ใช่",INDEX(Fee_รถยนต์_Bill!$B:$B,MATCH("ค่าคำขอ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7" s="15" t="str">
        <f>IF($K77="","",IF(N77="ใช่",IF(U77="รถยนต์",INDEX(Fee_รถยนต์_Bill!$B:$B,MATCH("ค่าธรรมเนียมอื่นๆ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7" s="15" t="str">
        <f>IF($K77="","",IF(U77="รถยนต์",INDEX(Fee_รถยนต์_Bill!$B:$B,MATCH("ค่าตรวจสภาพรถ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7" s="15" t="str">
        <f>IF($K77="","",IF(U77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7" s="15" t="str">
        <f>IF($K77="","",IF(U77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7" s="5"/>
      <c r="AB77" s="5"/>
      <c r="AC77" s="15" t="str">
        <f>IF($K77="","",IF(AB77="เลขประมูล",INDEX(Fee_รถยนต์_Bill!$B:$B,MATCH("ค่าขอใช้เลขทะเบียน - เลขประมูล",Fee_รถยนต์_Bill!$A:$A,0)),IF(AB77="ไม่ใช่เลขประมูล",INDEX(Fee_รถยนต์_Bill!$B:$B,MATCH("ค่าขอใช้เลขทะเบียน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7" s="5"/>
      <c r="AE77" s="15" t="str">
        <f>IF($K77="","",IF(AD77="ป้ายขาวดำ",INDEX(Fee_รถยนต์_Bill!$B:$B,MATCH("ค่าทำแผ่นป้ายทะเบียนใหม่ - ป้ายขาวดำ",Fee_รถยนต์_Bill!$A:$A,0)),IF(AD77="ป้ายประมูล",INDEX(Fee_รถยนต์_Bill!$B:$B,MATCH("ค่าทำแผ่นป้ายทะเบียนใหม่ - ป้ายประมูล",Fee_รถยนต์_Bill!$A:$A,0)),0)))</f>
        <v/>
      </c>
      <c r="AF77" s="5"/>
      <c r="AG77" s="15" t="str">
        <f>IF($K77="","",IF(AF77="ใช่",INDEX(Fee_รถยนต์_Bill!$B:$B,MATCH("ค่าย้ายออกต่างจังหวัด",Fee_รถยนต์_Bill!$A:$A,0)),0))</f>
        <v/>
      </c>
      <c r="AH77" s="15" t="str">
        <f t="shared" si="22"/>
        <v/>
      </c>
      <c r="AI77" s="5"/>
      <c r="AJ77" s="15" t="str">
        <f>IF($K77="","",IF(U77="รถยนต์",IF(AI77="ใช่",INDEX(Fee_รถยนต์_NoBill!$B:$B,MATCH("ค่าอากร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7" s="15" t="str">
        <f>IF($K77="","",IF(U77="รถยนต์",IFERROR(INDEX(Fee_รถยนต์_NoBill!$B:$B,MATCH("ลงขัน - "&amp;K77,Fee_รถยนต์_NoBill!$A:$A,0)),0),IFERROR(INDEX(Fee_จยย_NoBill!$B:$B,MATCH("ลงขัน - รย.12 ทุกประเภท (CC)",Fee_จยย_NoBill!$A:$A,0)),0)))</f>
        <v/>
      </c>
      <c r="AL77" s="5"/>
      <c r="AM77" s="15" t="str">
        <f>IF($K77="","",IF(AL77="ใช่",IF(U77="รถยนต์",INDEX(Fee_รถยนต์_NoBill!$B:$B,MATCH("งานด่วนเพิ่ม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7" s="15" t="str">
        <f t="shared" si="23"/>
        <v/>
      </c>
      <c r="AO77" s="16" t="str">
        <f t="shared" si="24"/>
        <v/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7" t="str">
        <f t="shared" si="25"/>
        <v/>
      </c>
      <c r="BB77" s="7" t="str">
        <f t="shared" si="26"/>
        <v/>
      </c>
    </row>
    <row r="78" spans="1:54" x14ac:dyDescent="0.3">
      <c r="A78" s="15" t="str">
        <f t="shared" si="18"/>
        <v/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15" t="str">
        <f t="shared" si="19"/>
        <v/>
      </c>
      <c r="O78" s="5"/>
      <c r="P78" s="15" t="str">
        <f>IF($K78="","",IF(O78="ตัดบัญชี",IFERROR(INDEX(Fee_ตัดบัญชี!$D:$D,MATCH(BB78,Fee_ตัดบัญชี!$C:$C,0)),0),0))</f>
        <v/>
      </c>
      <c r="Q78" s="15" t="str">
        <f>IF($K78="","",IF(O78="แจ้งย้าย",IFERROR(INDEX(Fee_แจ้งย้าย!$D:$D,MATCH(BB78,Fee_แจ้งย้าย!$C:$C,0)),0),0))</f>
        <v/>
      </c>
      <c r="R78" s="15" t="str">
        <f t="shared" si="20"/>
        <v/>
      </c>
      <c r="S78" s="5"/>
      <c r="T78" s="15" t="str">
        <f>IF($K78="","",IF(O78&lt;&gt;"ตัดบัญชี",0,IF(S78="กทม.",IFERROR(INDEX(Fee_ตรวจรถ_กทม!$D:$D,MATCH(BB78,Fee_ตรวจรถ_กทม!$C:$C,0)),0),IF(S78="ต่างจังหวัด",IFERROR(INDEX(Fee_ตรวจรถ_ตจว!$D:$D,MATCH(L78&amp;"|"&amp;K78,Fee_ตรวจรถ_ตจว!$C:$C,0)),0),0))))</f>
        <v/>
      </c>
      <c r="U78" s="15" t="str">
        <f t="shared" si="21"/>
        <v/>
      </c>
      <c r="V78" s="15" t="str">
        <f>IF($K78="","",IF(U78="รถยนต์",IF(N78="ใช่",INDEX(Fee_รถยนต์_Bill!$B:$B,MATCH("ค่าคำขอ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8" s="15" t="str">
        <f>IF($K78="","",IF(N78="ใช่",IF(U78="รถยนต์",INDEX(Fee_รถยนต์_Bill!$B:$B,MATCH("ค่าธรรมเนียมอื่นๆ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8" s="15" t="str">
        <f>IF($K78="","",IF(U78="รถยนต์",INDEX(Fee_รถยนต์_Bill!$B:$B,MATCH("ค่าตรวจสภาพรถ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8" s="15" t="str">
        <f>IF($K78="","",IF(U78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8" s="15" t="str">
        <f>IF($K78="","",IF(U78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8" s="5"/>
      <c r="AB78" s="5"/>
      <c r="AC78" s="15" t="str">
        <f>IF($K78="","",IF(AB78="เลขประมูล",INDEX(Fee_รถยนต์_Bill!$B:$B,MATCH("ค่าขอใช้เลขทะเบียน - เลขประมูล",Fee_รถยนต์_Bill!$A:$A,0)),IF(AB78="ไม่ใช่เลขประมูล",INDEX(Fee_รถยนต์_Bill!$B:$B,MATCH("ค่าขอใช้เลขทะเบียน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8" s="5"/>
      <c r="AE78" s="15" t="str">
        <f>IF($K78="","",IF(AD78="ป้ายขาวดำ",INDEX(Fee_รถยนต์_Bill!$B:$B,MATCH("ค่าทำแผ่นป้ายทะเบียนใหม่ - ป้ายขาวดำ",Fee_รถยนต์_Bill!$A:$A,0)),IF(AD78="ป้ายประมูล",INDEX(Fee_รถยนต์_Bill!$B:$B,MATCH("ค่าทำแผ่นป้ายทะเบียนใหม่ - ป้ายประมูล",Fee_รถยนต์_Bill!$A:$A,0)),0)))</f>
        <v/>
      </c>
      <c r="AF78" s="5"/>
      <c r="AG78" s="15" t="str">
        <f>IF($K78="","",IF(AF78="ใช่",INDEX(Fee_รถยนต์_Bill!$B:$B,MATCH("ค่าย้ายออกต่างจังหวัด",Fee_รถยนต์_Bill!$A:$A,0)),0))</f>
        <v/>
      </c>
      <c r="AH78" s="15" t="str">
        <f t="shared" si="22"/>
        <v/>
      </c>
      <c r="AI78" s="5"/>
      <c r="AJ78" s="15" t="str">
        <f>IF($K78="","",IF(U78="รถยนต์",IF(AI78="ใช่",INDEX(Fee_รถยนต์_NoBill!$B:$B,MATCH("ค่าอากร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8" s="15" t="str">
        <f>IF($K78="","",IF(U78="รถยนต์",IFERROR(INDEX(Fee_รถยนต์_NoBill!$B:$B,MATCH("ลงขัน - "&amp;K78,Fee_รถยนต์_NoBill!$A:$A,0)),0),IFERROR(INDEX(Fee_จยย_NoBill!$B:$B,MATCH("ลงขัน - รย.12 ทุกประเภท (CC)",Fee_จยย_NoBill!$A:$A,0)),0)))</f>
        <v/>
      </c>
      <c r="AL78" s="5"/>
      <c r="AM78" s="15" t="str">
        <f>IF($K78="","",IF(AL78="ใช่",IF(U78="รถยนต์",INDEX(Fee_รถยนต์_NoBill!$B:$B,MATCH("งานด่วนเพิ่ม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8" s="15" t="str">
        <f t="shared" si="23"/>
        <v/>
      </c>
      <c r="AO78" s="16" t="str">
        <f t="shared" si="24"/>
        <v/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7" t="str">
        <f t="shared" si="25"/>
        <v/>
      </c>
      <c r="BB78" s="7" t="str">
        <f t="shared" si="26"/>
        <v/>
      </c>
    </row>
    <row r="79" spans="1:54" x14ac:dyDescent="0.3">
      <c r="A79" s="15" t="str">
        <f t="shared" si="18"/>
        <v/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15" t="str">
        <f t="shared" si="19"/>
        <v/>
      </c>
      <c r="O79" s="5"/>
      <c r="P79" s="15" t="str">
        <f>IF($K79="","",IF(O79="ตัดบัญชี",IFERROR(INDEX(Fee_ตัดบัญชี!$D:$D,MATCH(BB79,Fee_ตัดบัญชี!$C:$C,0)),0),0))</f>
        <v/>
      </c>
      <c r="Q79" s="15" t="str">
        <f>IF($K79="","",IF(O79="แจ้งย้าย",IFERROR(INDEX(Fee_แจ้งย้าย!$D:$D,MATCH(BB79,Fee_แจ้งย้าย!$C:$C,0)),0),0))</f>
        <v/>
      </c>
      <c r="R79" s="15" t="str">
        <f t="shared" si="20"/>
        <v/>
      </c>
      <c r="S79" s="5"/>
      <c r="T79" s="15" t="str">
        <f>IF($K79="","",IF(O79&lt;&gt;"ตัดบัญชี",0,IF(S79="กทม.",IFERROR(INDEX(Fee_ตรวจรถ_กทม!$D:$D,MATCH(BB79,Fee_ตรวจรถ_กทม!$C:$C,0)),0),IF(S79="ต่างจังหวัด",IFERROR(INDEX(Fee_ตรวจรถ_ตจว!$D:$D,MATCH(L79&amp;"|"&amp;K79,Fee_ตรวจรถ_ตจว!$C:$C,0)),0),0))))</f>
        <v/>
      </c>
      <c r="U79" s="15" t="str">
        <f t="shared" si="21"/>
        <v/>
      </c>
      <c r="V79" s="15" t="str">
        <f>IF($K79="","",IF(U79="รถยนต์",IF(N79="ใช่",INDEX(Fee_รถยนต์_Bill!$B:$B,MATCH("ค่าคำขอ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(ปกติ)",Fee_รถยนต์_Bill!$A:$A,0))),IF(N79="ใช่",INDEX(Fee_จยย_Bill!$B:$B,MATCH("ค่าคำขอ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79" s="15" t="str">
        <f>IF($K79="","",IF(N79="ใช่",IF(U79="รถยนต์",INDEX(Fee_รถยนต์_Bill!$B:$B,MATCH("ค่าธรรมเนียมอื่นๆ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79" s="15" t="str">
        <f>IF($K79="","",IF(U79="รถยนต์",INDEX(Fee_รถยนต์_Bill!$B:$B,MATCH("ค่าตรวจสภาพรถ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79" s="15" t="str">
        <f>IF($K79="","",IF(U79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79" s="15" t="str">
        <f>IF($K79="","",IF(U79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79" s="5"/>
      <c r="AB79" s="5"/>
      <c r="AC79" s="15" t="str">
        <f>IF($K79="","",IF(AB79="เลขประมูล",INDEX(Fee_รถยนต์_Bill!$B:$B,MATCH("ค่าขอใช้เลขทะเบียน - เลขประมูล",Fee_รถยนต์_Bill!$A:$A,0)),IF(AB79="ไม่ใช่เลขประมูล",INDEX(Fee_รถยนต์_Bill!$B:$B,MATCH("ค่าขอใช้เลขทะเบียน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79" s="5"/>
      <c r="AE79" s="15" t="str">
        <f>IF($K79="","",IF(AD79="ป้ายขาวดำ",INDEX(Fee_รถยนต์_Bill!$B:$B,MATCH("ค่าทำแผ่นป้ายทะเบียนใหม่ - ป้ายขาวดำ",Fee_รถยนต์_Bill!$A:$A,0)),IF(AD79="ป้ายประมูล",INDEX(Fee_รถยนต์_Bill!$B:$B,MATCH("ค่าทำแผ่นป้ายทะเบียนใหม่ - ป้ายประมูล",Fee_รถยนต์_Bill!$A:$A,0)),0)))</f>
        <v/>
      </c>
      <c r="AF79" s="5"/>
      <c r="AG79" s="15" t="str">
        <f>IF($K79="","",IF(AF79="ใช่",INDEX(Fee_รถยนต์_Bill!$B:$B,MATCH("ค่าย้ายออกต่างจังหวัด",Fee_รถยนต์_Bill!$A:$A,0)),0))</f>
        <v/>
      </c>
      <c r="AH79" s="15" t="str">
        <f t="shared" si="22"/>
        <v/>
      </c>
      <c r="AI79" s="5"/>
      <c r="AJ79" s="15" t="str">
        <f>IF($K79="","",IF(U79="รถยนต์",IF(AI79="ใช่",INDEX(Fee_รถยนต์_NoBill!$B:$B,MATCH("ค่าอากร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(ปกติ)",Fee_รถยนต์_NoBill!$A:$A,0))),IF(AI79="ใช่",INDEX(Fee_จยย_NoBill!$B:$B,MATCH("ค่าอากร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79" s="15" t="str">
        <f>IF($K79="","",IF(U79="รถยนต์",IFERROR(INDEX(Fee_รถยนต์_NoBill!$B:$B,MATCH("ลงขัน - "&amp;K79,Fee_รถยนต์_NoBill!$A:$A,0)),0),IFERROR(INDEX(Fee_จยย_NoBill!$B:$B,MATCH("ลงขัน - รย.12 ทุกประเภท (CC)",Fee_จยย_NoBill!$A:$A,0)),0)))</f>
        <v/>
      </c>
      <c r="AL79" s="5"/>
      <c r="AM79" s="15" t="str">
        <f>IF($K79="","",IF(AL79="ใช่",IF(U79="รถยนต์",INDEX(Fee_รถยนต์_NoBill!$B:$B,MATCH("งานด่วนเพิ่ม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79" s="15" t="str">
        <f t="shared" si="23"/>
        <v/>
      </c>
      <c r="AO79" s="16" t="str">
        <f t="shared" si="24"/>
        <v/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7" t="str">
        <f t="shared" si="25"/>
        <v/>
      </c>
      <c r="BB79" s="7" t="str">
        <f t="shared" si="26"/>
        <v/>
      </c>
    </row>
    <row r="80" spans="1:54" x14ac:dyDescent="0.3">
      <c r="A80" s="15" t="str">
        <f t="shared" si="18"/>
        <v/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15" t="str">
        <f t="shared" si="19"/>
        <v/>
      </c>
      <c r="O80" s="5"/>
      <c r="P80" s="15" t="str">
        <f>IF($K80="","",IF(O80="ตัดบัญชี",IFERROR(INDEX(Fee_ตัดบัญชี!$D:$D,MATCH(BB80,Fee_ตัดบัญชี!$C:$C,0)),0),0))</f>
        <v/>
      </c>
      <c r="Q80" s="15" t="str">
        <f>IF($K80="","",IF(O80="แจ้งย้าย",IFERROR(INDEX(Fee_แจ้งย้าย!$D:$D,MATCH(BB80,Fee_แจ้งย้าย!$C:$C,0)),0),0))</f>
        <v/>
      </c>
      <c r="R80" s="15" t="str">
        <f t="shared" si="20"/>
        <v/>
      </c>
      <c r="S80" s="5"/>
      <c r="T80" s="15" t="str">
        <f>IF($K80="","",IF(O80&lt;&gt;"ตัดบัญชี",0,IF(S80="กทม.",IFERROR(INDEX(Fee_ตรวจรถ_กทม!$D:$D,MATCH(BB80,Fee_ตรวจรถ_กทม!$C:$C,0)),0),IF(S80="ต่างจังหวัด",IFERROR(INDEX(Fee_ตรวจรถ_ตจว!$D:$D,MATCH(L80&amp;"|"&amp;K80,Fee_ตรวจรถ_ตจว!$C:$C,0)),0),0))))</f>
        <v/>
      </c>
      <c r="U80" s="15" t="str">
        <f t="shared" si="21"/>
        <v/>
      </c>
      <c r="V80" s="15" t="str">
        <f>IF($K80="","",IF(U80="รถยนต์",IF(N80="ใช่",INDEX(Fee_รถยนต์_Bill!$B:$B,MATCH("ค่าคำขอ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0" s="15" t="str">
        <f>IF($K80="","",IF(N80="ใช่",IF(U80="รถยนต์",INDEX(Fee_รถยนต์_Bill!$B:$B,MATCH("ค่าธรรมเนียมอื่นๆ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0" s="15" t="str">
        <f>IF($K80="","",IF(U80="รถยนต์",INDEX(Fee_รถยนต์_Bill!$B:$B,MATCH("ค่าตรวจสภาพรถ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0" s="15" t="str">
        <f>IF($K80="","",IF(U80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0" s="15" t="str">
        <f>IF($K80="","",IF(U80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0" s="5"/>
      <c r="AB80" s="5"/>
      <c r="AC80" s="15" t="str">
        <f>IF($K80="","",IF(AB80="เลขประมูล",INDEX(Fee_รถยนต์_Bill!$B:$B,MATCH("ค่าขอใช้เลขทะเบียน - เลขประมูล",Fee_รถยนต์_Bill!$A:$A,0)),IF(AB80="ไม่ใช่เลขประมูล",INDEX(Fee_รถยนต์_Bill!$B:$B,MATCH("ค่าขอใช้เลขทะเบียน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0" s="5"/>
      <c r="AE80" s="15" t="str">
        <f>IF($K80="","",IF(AD80="ป้ายขาวดำ",INDEX(Fee_รถยนต์_Bill!$B:$B,MATCH("ค่าทำแผ่นป้ายทะเบียนใหม่ - ป้ายขาวดำ",Fee_รถยนต์_Bill!$A:$A,0)),IF(AD80="ป้ายประมูล",INDEX(Fee_รถยนต์_Bill!$B:$B,MATCH("ค่าทำแผ่นป้ายทะเบียนใหม่ - ป้ายประมูล",Fee_รถยนต์_Bill!$A:$A,0)),0)))</f>
        <v/>
      </c>
      <c r="AF80" s="5"/>
      <c r="AG80" s="15" t="str">
        <f>IF($K80="","",IF(AF80="ใช่",INDEX(Fee_รถยนต์_Bill!$B:$B,MATCH("ค่าย้ายออกต่างจังหวัด",Fee_รถยนต์_Bill!$A:$A,0)),0))</f>
        <v/>
      </c>
      <c r="AH80" s="15" t="str">
        <f t="shared" si="22"/>
        <v/>
      </c>
      <c r="AI80" s="5"/>
      <c r="AJ80" s="15" t="str">
        <f>IF($K80="","",IF(U80="รถยนต์",IF(AI80="ใช่",INDEX(Fee_รถยนต์_NoBill!$B:$B,MATCH("ค่าอากร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0" s="15" t="str">
        <f>IF($K80="","",IF(U80="รถยนต์",IFERROR(INDEX(Fee_รถยนต์_NoBill!$B:$B,MATCH("ลงขัน - "&amp;K80,Fee_รถยนต์_NoBill!$A:$A,0)),0),IFERROR(INDEX(Fee_จยย_NoBill!$B:$B,MATCH("ลงขัน - รย.12 ทุกประเภท (CC)",Fee_จยย_NoBill!$A:$A,0)),0)))</f>
        <v/>
      </c>
      <c r="AL80" s="5"/>
      <c r="AM80" s="15" t="str">
        <f>IF($K80="","",IF(AL80="ใช่",IF(U80="รถยนต์",INDEX(Fee_รถยนต์_NoBill!$B:$B,MATCH("งานด่วนเพิ่ม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0" s="15" t="str">
        <f t="shared" si="23"/>
        <v/>
      </c>
      <c r="AO80" s="16" t="str">
        <f t="shared" si="24"/>
        <v/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7" t="str">
        <f t="shared" si="25"/>
        <v/>
      </c>
      <c r="BB80" s="7" t="str">
        <f t="shared" si="26"/>
        <v/>
      </c>
    </row>
    <row r="81" spans="1:54" x14ac:dyDescent="0.3">
      <c r="A81" s="15" t="str">
        <f t="shared" si="18"/>
        <v/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15" t="str">
        <f t="shared" si="19"/>
        <v/>
      </c>
      <c r="O81" s="5"/>
      <c r="P81" s="15" t="str">
        <f>IF($K81="","",IF(O81="ตัดบัญชี",IFERROR(INDEX(Fee_ตัดบัญชี!$D:$D,MATCH(BB81,Fee_ตัดบัญชี!$C:$C,0)),0),0))</f>
        <v/>
      </c>
      <c r="Q81" s="15" t="str">
        <f>IF($K81="","",IF(O81="แจ้งย้าย",IFERROR(INDEX(Fee_แจ้งย้าย!$D:$D,MATCH(BB81,Fee_แจ้งย้าย!$C:$C,0)),0),0))</f>
        <v/>
      </c>
      <c r="R81" s="15" t="str">
        <f t="shared" si="20"/>
        <v/>
      </c>
      <c r="S81" s="5"/>
      <c r="T81" s="15" t="str">
        <f>IF($K81="","",IF(O81&lt;&gt;"ตัดบัญชี",0,IF(S81="กทม.",IFERROR(INDEX(Fee_ตรวจรถ_กทม!$D:$D,MATCH(BB81,Fee_ตรวจรถ_กทม!$C:$C,0)),0),IF(S81="ต่างจังหวัด",IFERROR(INDEX(Fee_ตรวจรถ_ตจว!$D:$D,MATCH(L81&amp;"|"&amp;K81,Fee_ตรวจรถ_ตจว!$C:$C,0)),0),0))))</f>
        <v/>
      </c>
      <c r="U81" s="15" t="str">
        <f t="shared" si="21"/>
        <v/>
      </c>
      <c r="V81" s="15" t="str">
        <f>IF($K81="","",IF(U81="รถยนต์",IF(N81="ใช่",INDEX(Fee_รถยนต์_Bill!$B:$B,MATCH("ค่าคำขอ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1" s="15" t="str">
        <f>IF($K81="","",IF(N81="ใช่",IF(U81="รถยนต์",INDEX(Fee_รถยนต์_Bill!$B:$B,MATCH("ค่าธรรมเนียมอื่นๆ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1" s="15" t="str">
        <f>IF($K81="","",IF(U81="รถยนต์",INDEX(Fee_รถยนต์_Bill!$B:$B,MATCH("ค่าตรวจสภาพรถ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1" s="15" t="str">
        <f>IF($K81="","",IF(U81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1" s="15" t="str">
        <f>IF($K81="","",IF(U81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1" s="5"/>
      <c r="AB81" s="5"/>
      <c r="AC81" s="15" t="str">
        <f>IF($K81="","",IF(AB81="เลขประมูล",INDEX(Fee_รถยนต์_Bill!$B:$B,MATCH("ค่าขอใช้เลขทะเบียน - เลขประมูล",Fee_รถยนต์_Bill!$A:$A,0)),IF(AB81="ไม่ใช่เลขประมูล",INDEX(Fee_รถยนต์_Bill!$B:$B,MATCH("ค่าขอใช้เลขทะเบียน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1" s="5"/>
      <c r="AE81" s="15" t="str">
        <f>IF($K81="","",IF(AD81="ป้ายขาวดำ",INDEX(Fee_รถยนต์_Bill!$B:$B,MATCH("ค่าทำแผ่นป้ายทะเบียนใหม่ - ป้ายขาวดำ",Fee_รถยนต์_Bill!$A:$A,0)),IF(AD81="ป้ายประมูล",INDEX(Fee_รถยนต์_Bill!$B:$B,MATCH("ค่าทำแผ่นป้ายทะเบียนใหม่ - ป้ายประมูล",Fee_รถยนต์_Bill!$A:$A,0)),0)))</f>
        <v/>
      </c>
      <c r="AF81" s="5"/>
      <c r="AG81" s="15" t="str">
        <f>IF($K81="","",IF(AF81="ใช่",INDEX(Fee_รถยนต์_Bill!$B:$B,MATCH("ค่าย้ายออกต่างจังหวัด",Fee_รถยนต์_Bill!$A:$A,0)),0))</f>
        <v/>
      </c>
      <c r="AH81" s="15" t="str">
        <f t="shared" si="22"/>
        <v/>
      </c>
      <c r="AI81" s="5"/>
      <c r="AJ81" s="15" t="str">
        <f>IF($K81="","",IF(U81="รถยนต์",IF(AI81="ใช่",INDEX(Fee_รถยนต์_NoBill!$B:$B,MATCH("ค่าอากร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1" s="15" t="str">
        <f>IF($K81="","",IF(U81="รถยนต์",IFERROR(INDEX(Fee_รถยนต์_NoBill!$B:$B,MATCH("ลงขัน - "&amp;K81,Fee_รถยนต์_NoBill!$A:$A,0)),0),IFERROR(INDEX(Fee_จยย_NoBill!$B:$B,MATCH("ลงขัน - รย.12 ทุกประเภท (CC)",Fee_จยย_NoBill!$A:$A,0)),0)))</f>
        <v/>
      </c>
      <c r="AL81" s="5"/>
      <c r="AM81" s="15" t="str">
        <f>IF($K81="","",IF(AL81="ใช่",IF(U81="รถยนต์",INDEX(Fee_รถยนต์_NoBill!$B:$B,MATCH("งานด่วนเพิ่ม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1" s="15" t="str">
        <f t="shared" si="23"/>
        <v/>
      </c>
      <c r="AO81" s="16" t="str">
        <f t="shared" si="24"/>
        <v/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7" t="str">
        <f t="shared" si="25"/>
        <v/>
      </c>
      <c r="BB81" s="7" t="str">
        <f t="shared" si="26"/>
        <v/>
      </c>
    </row>
    <row r="82" spans="1:54" x14ac:dyDescent="0.3">
      <c r="A82" s="15" t="str">
        <f t="shared" si="18"/>
        <v/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15" t="str">
        <f t="shared" si="19"/>
        <v/>
      </c>
      <c r="O82" s="5"/>
      <c r="P82" s="15" t="str">
        <f>IF($K82="","",IF(O82="ตัดบัญชี",IFERROR(INDEX(Fee_ตัดบัญชี!$D:$D,MATCH(BB82,Fee_ตัดบัญชี!$C:$C,0)),0),0))</f>
        <v/>
      </c>
      <c r="Q82" s="15" t="str">
        <f>IF($K82="","",IF(O82="แจ้งย้าย",IFERROR(INDEX(Fee_แจ้งย้าย!$D:$D,MATCH(BB82,Fee_แจ้งย้าย!$C:$C,0)),0),0))</f>
        <v/>
      </c>
      <c r="R82" s="15" t="str">
        <f t="shared" si="20"/>
        <v/>
      </c>
      <c r="S82" s="5"/>
      <c r="T82" s="15" t="str">
        <f>IF($K82="","",IF(O82&lt;&gt;"ตัดบัญชี",0,IF(S82="กทม.",IFERROR(INDEX(Fee_ตรวจรถ_กทม!$D:$D,MATCH(BB82,Fee_ตรวจรถ_กทม!$C:$C,0)),0),IF(S82="ต่างจังหวัด",IFERROR(INDEX(Fee_ตรวจรถ_ตจว!$D:$D,MATCH(L82&amp;"|"&amp;K82,Fee_ตรวจรถ_ตจว!$C:$C,0)),0),0))))</f>
        <v/>
      </c>
      <c r="U82" s="15" t="str">
        <f t="shared" si="21"/>
        <v/>
      </c>
      <c r="V82" s="15" t="str">
        <f>IF($K82="","",IF(U82="รถยนต์",IF(N82="ใช่",INDEX(Fee_รถยนต์_Bill!$B:$B,MATCH("ค่าคำขอ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(ปกติ)",Fee_รถยนต์_Bill!$A:$A,0))),IF(N82="ใช่",INDEX(Fee_จยย_Bill!$B:$B,MATCH("ค่าคำขอ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2" s="15" t="str">
        <f>IF($K82="","",IF(N82="ใช่",IF(U82="รถยนต์",INDEX(Fee_รถยนต์_Bill!$B:$B,MATCH("ค่าธรรมเนียมอื่นๆ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2" s="15" t="str">
        <f>IF($K82="","",IF(U82="รถยนต์",INDEX(Fee_รถยนต์_Bill!$B:$B,MATCH("ค่าตรวจสภาพรถ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2" s="15" t="str">
        <f>IF($K82="","",IF(U82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2" s="15" t="str">
        <f>IF($K82="","",IF(U82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2" s="5"/>
      <c r="AB82" s="5"/>
      <c r="AC82" s="15" t="str">
        <f>IF($K82="","",IF(AB82="เลขประมูล",INDEX(Fee_รถยนต์_Bill!$B:$B,MATCH("ค่าขอใช้เลขทะเบียน - เลขประมูล",Fee_รถยนต์_Bill!$A:$A,0)),IF(AB82="ไม่ใช่เลขประมูล",INDEX(Fee_รถยนต์_Bill!$B:$B,MATCH("ค่าขอใช้เลขทะเบียน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2" s="5"/>
      <c r="AE82" s="15" t="str">
        <f>IF($K82="","",IF(AD82="ป้ายขาวดำ",INDEX(Fee_รถยนต์_Bill!$B:$B,MATCH("ค่าทำแผ่นป้ายทะเบียนใหม่ - ป้ายขาวดำ",Fee_รถยนต์_Bill!$A:$A,0)),IF(AD82="ป้ายประมูล",INDEX(Fee_รถยนต์_Bill!$B:$B,MATCH("ค่าทำแผ่นป้ายทะเบียนใหม่ - ป้ายประมูล",Fee_รถยนต์_Bill!$A:$A,0)),0)))</f>
        <v/>
      </c>
      <c r="AF82" s="5"/>
      <c r="AG82" s="15" t="str">
        <f>IF($K82="","",IF(AF82="ใช่",INDEX(Fee_รถยนต์_Bill!$B:$B,MATCH("ค่าย้ายออกต่างจังหวัด",Fee_รถยนต์_Bill!$A:$A,0)),0))</f>
        <v/>
      </c>
      <c r="AH82" s="15" t="str">
        <f t="shared" si="22"/>
        <v/>
      </c>
      <c r="AI82" s="5"/>
      <c r="AJ82" s="15" t="str">
        <f>IF($K82="","",IF(U82="รถยนต์",IF(AI82="ใช่",INDEX(Fee_รถยนต์_NoBill!$B:$B,MATCH("ค่าอากร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2" s="15" t="str">
        <f>IF($K82="","",IF(U82="รถยนต์",IFERROR(INDEX(Fee_รถยนต์_NoBill!$B:$B,MATCH("ลงขัน - "&amp;K82,Fee_รถยนต์_NoBill!$A:$A,0)),0),IFERROR(INDEX(Fee_จยย_NoBill!$B:$B,MATCH("ลงขัน - รย.12 ทุกประเภท (CC)",Fee_จยย_NoBill!$A:$A,0)),0)))</f>
        <v/>
      </c>
      <c r="AL82" s="5"/>
      <c r="AM82" s="15" t="str">
        <f>IF($K82="","",IF(AL82="ใช่",IF(U82="รถยนต์",INDEX(Fee_รถยนต์_NoBill!$B:$B,MATCH("งานด่วนเพิ่ม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2" s="15" t="str">
        <f t="shared" si="23"/>
        <v/>
      </c>
      <c r="AO82" s="16" t="str">
        <f t="shared" si="24"/>
        <v/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7" t="str">
        <f t="shared" si="25"/>
        <v/>
      </c>
      <c r="BB82" s="7" t="str">
        <f t="shared" si="26"/>
        <v/>
      </c>
    </row>
    <row r="83" spans="1:54" x14ac:dyDescent="0.3">
      <c r="A83" s="15" t="str">
        <f t="shared" si="18"/>
        <v/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15" t="str">
        <f t="shared" si="19"/>
        <v/>
      </c>
      <c r="O83" s="5"/>
      <c r="P83" s="15" t="str">
        <f>IF($K83="","",IF(O83="ตัดบัญชี",IFERROR(INDEX(Fee_ตัดบัญชี!$D:$D,MATCH(BB83,Fee_ตัดบัญชี!$C:$C,0)),0),0))</f>
        <v/>
      </c>
      <c r="Q83" s="15" t="str">
        <f>IF($K83="","",IF(O83="แจ้งย้าย",IFERROR(INDEX(Fee_แจ้งย้าย!$D:$D,MATCH(BB83,Fee_แจ้งย้าย!$C:$C,0)),0),0))</f>
        <v/>
      </c>
      <c r="R83" s="15" t="str">
        <f t="shared" si="20"/>
        <v/>
      </c>
      <c r="S83" s="5"/>
      <c r="T83" s="15" t="str">
        <f>IF($K83="","",IF(O83&lt;&gt;"ตัดบัญชี",0,IF(S83="กทม.",IFERROR(INDEX(Fee_ตรวจรถ_กทม!$D:$D,MATCH(BB83,Fee_ตรวจรถ_กทม!$C:$C,0)),0),IF(S83="ต่างจังหวัด",IFERROR(INDEX(Fee_ตรวจรถ_ตจว!$D:$D,MATCH(L83&amp;"|"&amp;K83,Fee_ตรวจรถ_ตจว!$C:$C,0)),0),0))))</f>
        <v/>
      </c>
      <c r="U83" s="15" t="str">
        <f t="shared" si="21"/>
        <v/>
      </c>
      <c r="V83" s="15" t="str">
        <f>IF($K83="","",IF(U83="รถยนต์",IF(N83="ใช่",INDEX(Fee_รถยนต์_Bill!$B:$B,MATCH("ค่าคำขอ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3" s="15" t="str">
        <f>IF($K83="","",IF(N83="ใช่",IF(U83="รถยนต์",INDEX(Fee_รถยนต์_Bill!$B:$B,MATCH("ค่าธรรมเนียมอื่นๆ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3" s="15" t="str">
        <f>IF($K83="","",IF(U83="รถยนต์",INDEX(Fee_รถยนต์_Bill!$B:$B,MATCH("ค่าตรวจสภาพรถ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3" s="15" t="str">
        <f>IF($K83="","",IF(U83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3" s="15" t="str">
        <f>IF($K83="","",IF(U83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3" s="5"/>
      <c r="AB83" s="5"/>
      <c r="AC83" s="15" t="str">
        <f>IF($K83="","",IF(AB83="เลขประมูล",INDEX(Fee_รถยนต์_Bill!$B:$B,MATCH("ค่าขอใช้เลขทะเบียน - เลขประมูล",Fee_รถยนต์_Bill!$A:$A,0)),IF(AB83="ไม่ใช่เลขประมูล",INDEX(Fee_รถยนต์_Bill!$B:$B,MATCH("ค่าขอใช้เลขทะเบียน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3" s="5"/>
      <c r="AE83" s="15" t="str">
        <f>IF($K83="","",IF(AD83="ป้ายขาวดำ",INDEX(Fee_รถยนต์_Bill!$B:$B,MATCH("ค่าทำแผ่นป้ายทะเบียนใหม่ - ป้ายขาวดำ",Fee_รถยนต์_Bill!$A:$A,0)),IF(AD83="ป้ายประมูล",INDEX(Fee_รถยนต์_Bill!$B:$B,MATCH("ค่าทำแผ่นป้ายทะเบียนใหม่ - ป้ายประมูล",Fee_รถยนต์_Bill!$A:$A,0)),0)))</f>
        <v/>
      </c>
      <c r="AF83" s="5"/>
      <c r="AG83" s="15" t="str">
        <f>IF($K83="","",IF(AF83="ใช่",INDEX(Fee_รถยนต์_Bill!$B:$B,MATCH("ค่าย้ายออกต่างจังหวัด",Fee_รถยนต์_Bill!$A:$A,0)),0))</f>
        <v/>
      </c>
      <c r="AH83" s="15" t="str">
        <f t="shared" si="22"/>
        <v/>
      </c>
      <c r="AI83" s="5"/>
      <c r="AJ83" s="15" t="str">
        <f>IF($K83="","",IF(U83="รถยนต์",IF(AI83="ใช่",INDEX(Fee_รถยนต์_NoBill!$B:$B,MATCH("ค่าอากร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3" s="15" t="str">
        <f>IF($K83="","",IF(U83="รถยนต์",IFERROR(INDEX(Fee_รถยนต์_NoBill!$B:$B,MATCH("ลงขัน - "&amp;K83,Fee_รถยนต์_NoBill!$A:$A,0)),0),IFERROR(INDEX(Fee_จยย_NoBill!$B:$B,MATCH("ลงขัน - รย.12 ทุกประเภท (CC)",Fee_จยย_NoBill!$A:$A,0)),0)))</f>
        <v/>
      </c>
      <c r="AL83" s="5"/>
      <c r="AM83" s="15" t="str">
        <f>IF($K83="","",IF(AL83="ใช่",IF(U83="รถยนต์",INDEX(Fee_รถยนต์_NoBill!$B:$B,MATCH("งานด่วนเพิ่ม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3" s="15" t="str">
        <f t="shared" si="23"/>
        <v/>
      </c>
      <c r="AO83" s="16" t="str">
        <f t="shared" si="24"/>
        <v/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7" t="str">
        <f t="shared" si="25"/>
        <v/>
      </c>
      <c r="BB83" s="7" t="str">
        <f t="shared" si="26"/>
        <v/>
      </c>
    </row>
    <row r="84" spans="1:54" x14ac:dyDescent="0.3">
      <c r="A84" s="15" t="str">
        <f t="shared" si="18"/>
        <v/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15" t="str">
        <f t="shared" si="19"/>
        <v/>
      </c>
      <c r="O84" s="5"/>
      <c r="P84" s="15" t="str">
        <f>IF($K84="","",IF(O84="ตัดบัญชี",IFERROR(INDEX(Fee_ตัดบัญชี!$D:$D,MATCH(BB84,Fee_ตัดบัญชี!$C:$C,0)),0),0))</f>
        <v/>
      </c>
      <c r="Q84" s="15" t="str">
        <f>IF($K84="","",IF(O84="แจ้งย้าย",IFERROR(INDEX(Fee_แจ้งย้าย!$D:$D,MATCH(BB84,Fee_แจ้งย้าย!$C:$C,0)),0),0))</f>
        <v/>
      </c>
      <c r="R84" s="15" t="str">
        <f t="shared" si="20"/>
        <v/>
      </c>
      <c r="S84" s="5"/>
      <c r="T84" s="15" t="str">
        <f>IF($K84="","",IF(O84&lt;&gt;"ตัดบัญชี",0,IF(S84="กทม.",IFERROR(INDEX(Fee_ตรวจรถ_กทม!$D:$D,MATCH(BB84,Fee_ตรวจรถ_กทม!$C:$C,0)),0),IF(S84="ต่างจังหวัด",IFERROR(INDEX(Fee_ตรวจรถ_ตจว!$D:$D,MATCH(L84&amp;"|"&amp;K84,Fee_ตรวจรถ_ตจว!$C:$C,0)),0),0))))</f>
        <v/>
      </c>
      <c r="U84" s="15" t="str">
        <f t="shared" si="21"/>
        <v/>
      </c>
      <c r="V84" s="15" t="str">
        <f>IF($K84="","",IF(U84="รถยนต์",IF(N84="ใช่",INDEX(Fee_รถยนต์_Bill!$B:$B,MATCH("ค่าคำขอ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4" s="15" t="str">
        <f>IF($K84="","",IF(N84="ใช่",IF(U84="รถยนต์",INDEX(Fee_รถยนต์_Bill!$B:$B,MATCH("ค่าธรรมเนียมอื่นๆ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4" s="15" t="str">
        <f>IF($K84="","",IF(U84="รถยนต์",INDEX(Fee_รถยนต์_Bill!$B:$B,MATCH("ค่าตรวจสภาพรถ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4" s="15" t="str">
        <f>IF($K84="","",IF(U84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4" s="15" t="str">
        <f>IF($K84="","",IF(U84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4" s="5"/>
      <c r="AB84" s="5"/>
      <c r="AC84" s="15" t="str">
        <f>IF($K84="","",IF(AB84="เลขประมูล",INDEX(Fee_รถยนต์_Bill!$B:$B,MATCH("ค่าขอใช้เลขทะเบียน - เลขประมูล",Fee_รถยนต์_Bill!$A:$A,0)),IF(AB84="ไม่ใช่เลขประมูล",INDEX(Fee_รถยนต์_Bill!$B:$B,MATCH("ค่าขอใช้เลขทะเบียน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4" s="5"/>
      <c r="AE84" s="15" t="str">
        <f>IF($K84="","",IF(AD84="ป้ายขาวดำ",INDEX(Fee_รถยนต์_Bill!$B:$B,MATCH("ค่าทำแผ่นป้ายทะเบียนใหม่ - ป้ายขาวดำ",Fee_รถยนต์_Bill!$A:$A,0)),IF(AD84="ป้ายประมูล",INDEX(Fee_รถยนต์_Bill!$B:$B,MATCH("ค่าทำแผ่นป้ายทะเบียนใหม่ - ป้ายประมูล",Fee_รถยนต์_Bill!$A:$A,0)),0)))</f>
        <v/>
      </c>
      <c r="AF84" s="5"/>
      <c r="AG84" s="15" t="str">
        <f>IF($K84="","",IF(AF84="ใช่",INDEX(Fee_รถยนต์_Bill!$B:$B,MATCH("ค่าย้ายออกต่างจังหวัด",Fee_รถยนต์_Bill!$A:$A,0)),0))</f>
        <v/>
      </c>
      <c r="AH84" s="15" t="str">
        <f t="shared" si="22"/>
        <v/>
      </c>
      <c r="AI84" s="5"/>
      <c r="AJ84" s="15" t="str">
        <f>IF($K84="","",IF(U84="รถยนต์",IF(AI84="ใช่",INDEX(Fee_รถยนต์_NoBill!$B:$B,MATCH("ค่าอากร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4" s="15" t="str">
        <f>IF($K84="","",IF(U84="รถยนต์",IFERROR(INDEX(Fee_รถยนต์_NoBill!$B:$B,MATCH("ลงขัน - "&amp;K84,Fee_รถยนต์_NoBill!$A:$A,0)),0),IFERROR(INDEX(Fee_จยย_NoBill!$B:$B,MATCH("ลงขัน - รย.12 ทุกประเภท (CC)",Fee_จยย_NoBill!$A:$A,0)),0)))</f>
        <v/>
      </c>
      <c r="AL84" s="5"/>
      <c r="AM84" s="15" t="str">
        <f>IF($K84="","",IF(AL84="ใช่",IF(U84="รถยนต์",INDEX(Fee_รถยนต์_NoBill!$B:$B,MATCH("งานด่วนเพิ่ม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4" s="15" t="str">
        <f t="shared" si="23"/>
        <v/>
      </c>
      <c r="AO84" s="16" t="str">
        <f t="shared" si="24"/>
        <v/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7" t="str">
        <f t="shared" si="25"/>
        <v/>
      </c>
      <c r="BB84" s="7" t="str">
        <f t="shared" si="26"/>
        <v/>
      </c>
    </row>
    <row r="85" spans="1:54" x14ac:dyDescent="0.3">
      <c r="A85" s="15" t="str">
        <f t="shared" si="18"/>
        <v/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15" t="str">
        <f t="shared" si="19"/>
        <v/>
      </c>
      <c r="O85" s="5"/>
      <c r="P85" s="15" t="str">
        <f>IF($K85="","",IF(O85="ตัดบัญชี",IFERROR(INDEX(Fee_ตัดบัญชี!$D:$D,MATCH(BB85,Fee_ตัดบัญชี!$C:$C,0)),0),0))</f>
        <v/>
      </c>
      <c r="Q85" s="15" t="str">
        <f>IF($K85="","",IF(O85="แจ้งย้าย",IFERROR(INDEX(Fee_แจ้งย้าย!$D:$D,MATCH(BB85,Fee_แจ้งย้าย!$C:$C,0)),0),0))</f>
        <v/>
      </c>
      <c r="R85" s="15" t="str">
        <f t="shared" si="20"/>
        <v/>
      </c>
      <c r="S85" s="5"/>
      <c r="T85" s="15" t="str">
        <f>IF($K85="","",IF(O85&lt;&gt;"ตัดบัญชี",0,IF(S85="กทม.",IFERROR(INDEX(Fee_ตรวจรถ_กทม!$D:$D,MATCH(BB85,Fee_ตรวจรถ_กทม!$C:$C,0)),0),IF(S85="ต่างจังหวัด",IFERROR(INDEX(Fee_ตรวจรถ_ตจว!$D:$D,MATCH(L85&amp;"|"&amp;K85,Fee_ตรวจรถ_ตจว!$C:$C,0)),0),0))))</f>
        <v/>
      </c>
      <c r="U85" s="15" t="str">
        <f t="shared" si="21"/>
        <v/>
      </c>
      <c r="V85" s="15" t="str">
        <f>IF($K85="","",IF(U85="รถยนต์",IF(N85="ใช่",INDEX(Fee_รถยนต์_Bill!$B:$B,MATCH("ค่าคำขอ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5" s="15" t="str">
        <f>IF($K85="","",IF(N85="ใช่",IF(U85="รถยนต์",INDEX(Fee_รถยนต์_Bill!$B:$B,MATCH("ค่าธรรมเนียมอื่นๆ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5" s="15" t="str">
        <f>IF($K85="","",IF(U85="รถยนต์",INDEX(Fee_รถยนต์_Bill!$B:$B,MATCH("ค่าตรวจสภาพรถ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5" s="15" t="str">
        <f>IF($K85="","",IF(U85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5" s="15" t="str">
        <f>IF($K85="","",IF(U85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5" s="5"/>
      <c r="AB85" s="5"/>
      <c r="AC85" s="15" t="str">
        <f>IF($K85="","",IF(AB85="เลขประมูล",INDEX(Fee_รถยนต์_Bill!$B:$B,MATCH("ค่าขอใช้เลขทะเบียน - เลขประมูล",Fee_รถยนต์_Bill!$A:$A,0)),IF(AB85="ไม่ใช่เลขประมูล",INDEX(Fee_รถยนต์_Bill!$B:$B,MATCH("ค่าขอใช้เลขทะเบียน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5" s="5"/>
      <c r="AE85" s="15" t="str">
        <f>IF($K85="","",IF(AD85="ป้ายขาวดำ",INDEX(Fee_รถยนต์_Bill!$B:$B,MATCH("ค่าทำแผ่นป้ายทะเบียนใหม่ - ป้ายขาวดำ",Fee_รถยนต์_Bill!$A:$A,0)),IF(AD85="ป้ายประมูล",INDEX(Fee_รถยนต์_Bill!$B:$B,MATCH("ค่าทำแผ่นป้ายทะเบียนใหม่ - ป้ายประมูล",Fee_รถยนต์_Bill!$A:$A,0)),0)))</f>
        <v/>
      </c>
      <c r="AF85" s="5"/>
      <c r="AG85" s="15" t="str">
        <f>IF($K85="","",IF(AF85="ใช่",INDEX(Fee_รถยนต์_Bill!$B:$B,MATCH("ค่าย้ายออกต่างจังหวัด",Fee_รถยนต์_Bill!$A:$A,0)),0))</f>
        <v/>
      </c>
      <c r="AH85" s="15" t="str">
        <f t="shared" si="22"/>
        <v/>
      </c>
      <c r="AI85" s="5"/>
      <c r="AJ85" s="15" t="str">
        <f>IF($K85="","",IF(U85="รถยนต์",IF(AI85="ใช่",INDEX(Fee_รถยนต์_NoBill!$B:$B,MATCH("ค่าอากร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5" s="15" t="str">
        <f>IF($K85="","",IF(U85="รถยนต์",IFERROR(INDEX(Fee_รถยนต์_NoBill!$B:$B,MATCH("ลงขัน - "&amp;K85,Fee_รถยนต์_NoBill!$A:$A,0)),0),IFERROR(INDEX(Fee_จยย_NoBill!$B:$B,MATCH("ลงขัน - รย.12 ทุกประเภท (CC)",Fee_จยย_NoBill!$A:$A,0)),0)))</f>
        <v/>
      </c>
      <c r="AL85" s="5"/>
      <c r="AM85" s="15" t="str">
        <f>IF($K85="","",IF(AL85="ใช่",IF(U85="รถยนต์",INDEX(Fee_รถยนต์_NoBill!$B:$B,MATCH("งานด่วนเพิ่ม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5" s="15" t="str">
        <f t="shared" si="23"/>
        <v/>
      </c>
      <c r="AO85" s="16" t="str">
        <f t="shared" si="24"/>
        <v/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7" t="str">
        <f t="shared" si="25"/>
        <v/>
      </c>
      <c r="BB85" s="7" t="str">
        <f t="shared" si="26"/>
        <v/>
      </c>
    </row>
    <row r="86" spans="1:54" x14ac:dyDescent="0.3">
      <c r="A86" s="15" t="str">
        <f t="shared" si="18"/>
        <v/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15" t="str">
        <f t="shared" si="19"/>
        <v/>
      </c>
      <c r="O86" s="5"/>
      <c r="P86" s="15" t="str">
        <f>IF($K86="","",IF(O86="ตัดบัญชี",IFERROR(INDEX(Fee_ตัดบัญชี!$D:$D,MATCH(BB86,Fee_ตัดบัญชี!$C:$C,0)),0),0))</f>
        <v/>
      </c>
      <c r="Q86" s="15" t="str">
        <f>IF($K86="","",IF(O86="แจ้งย้าย",IFERROR(INDEX(Fee_แจ้งย้าย!$D:$D,MATCH(BB86,Fee_แจ้งย้าย!$C:$C,0)),0),0))</f>
        <v/>
      </c>
      <c r="R86" s="15" t="str">
        <f t="shared" si="20"/>
        <v/>
      </c>
      <c r="S86" s="5"/>
      <c r="T86" s="15" t="str">
        <f>IF($K86="","",IF(O86&lt;&gt;"ตัดบัญชี",0,IF(S86="กทม.",IFERROR(INDEX(Fee_ตรวจรถ_กทม!$D:$D,MATCH(BB86,Fee_ตรวจรถ_กทม!$C:$C,0)),0),IF(S86="ต่างจังหวัด",IFERROR(INDEX(Fee_ตรวจรถ_ตจว!$D:$D,MATCH(L86&amp;"|"&amp;K86,Fee_ตรวจรถ_ตจว!$C:$C,0)),0),0))))</f>
        <v/>
      </c>
      <c r="U86" s="15" t="str">
        <f t="shared" si="21"/>
        <v/>
      </c>
      <c r="V86" s="15" t="str">
        <f>IF($K86="","",IF(U86="รถยนต์",IF(N86="ใช่",INDEX(Fee_รถยนต์_Bill!$B:$B,MATCH("ค่าคำขอ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6" s="15" t="str">
        <f>IF($K86="","",IF(N86="ใช่",IF(U86="รถยนต์",INDEX(Fee_รถยนต์_Bill!$B:$B,MATCH("ค่าธรรมเนียมอื่นๆ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6" s="15" t="str">
        <f>IF($K86="","",IF(U86="รถยนต์",INDEX(Fee_รถยนต์_Bill!$B:$B,MATCH("ค่าตรวจสภาพรถ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6" s="15" t="str">
        <f>IF($K86="","",IF(U86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6" s="15" t="str">
        <f>IF($K86="","",IF(U86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6" s="5"/>
      <c r="AB86" s="5"/>
      <c r="AC86" s="15" t="str">
        <f>IF($K86="","",IF(AB86="เลขประมูล",INDEX(Fee_รถยนต์_Bill!$B:$B,MATCH("ค่าขอใช้เลขทะเบียน - เลขประมูล",Fee_รถยนต์_Bill!$A:$A,0)),IF(AB86="ไม่ใช่เลขประมูล",INDEX(Fee_รถยนต์_Bill!$B:$B,MATCH("ค่าขอใช้เลขทะเบียน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6" s="5"/>
      <c r="AE86" s="15" t="str">
        <f>IF($K86="","",IF(AD86="ป้ายขาวดำ",INDEX(Fee_รถยนต์_Bill!$B:$B,MATCH("ค่าทำแผ่นป้ายทะเบียนใหม่ - ป้ายขาวดำ",Fee_รถยนต์_Bill!$A:$A,0)),IF(AD86="ป้ายประมูล",INDEX(Fee_รถยนต์_Bill!$B:$B,MATCH("ค่าทำแผ่นป้ายทะเบียนใหม่ - ป้ายประมูล",Fee_รถยนต์_Bill!$A:$A,0)),0)))</f>
        <v/>
      </c>
      <c r="AF86" s="5"/>
      <c r="AG86" s="15" t="str">
        <f>IF($K86="","",IF(AF86="ใช่",INDEX(Fee_รถยนต์_Bill!$B:$B,MATCH("ค่าย้ายออกต่างจังหวัด",Fee_รถยนต์_Bill!$A:$A,0)),0))</f>
        <v/>
      </c>
      <c r="AH86" s="15" t="str">
        <f t="shared" si="22"/>
        <v/>
      </c>
      <c r="AI86" s="5"/>
      <c r="AJ86" s="15" t="str">
        <f>IF($K86="","",IF(U86="รถยนต์",IF(AI86="ใช่",INDEX(Fee_รถยนต์_NoBill!$B:$B,MATCH("ค่าอากร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6" s="15" t="str">
        <f>IF($K86="","",IF(U86="รถยนต์",IFERROR(INDEX(Fee_รถยนต์_NoBill!$B:$B,MATCH("ลงขัน - "&amp;K86,Fee_รถยนต์_NoBill!$A:$A,0)),0),IFERROR(INDEX(Fee_จยย_NoBill!$B:$B,MATCH("ลงขัน - รย.12 ทุกประเภท (CC)",Fee_จยย_NoBill!$A:$A,0)),0)))</f>
        <v/>
      </c>
      <c r="AL86" s="5"/>
      <c r="AM86" s="15" t="str">
        <f>IF($K86="","",IF(AL86="ใช่",IF(U86="รถยนต์",INDEX(Fee_รถยนต์_NoBill!$B:$B,MATCH("งานด่วนเพิ่ม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6" s="15" t="str">
        <f t="shared" si="23"/>
        <v/>
      </c>
      <c r="AO86" s="16" t="str">
        <f t="shared" si="24"/>
        <v/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7" t="str">
        <f t="shared" si="25"/>
        <v/>
      </c>
      <c r="BB86" s="7" t="str">
        <f t="shared" si="26"/>
        <v/>
      </c>
    </row>
    <row r="87" spans="1:54" x14ac:dyDescent="0.3">
      <c r="A87" s="15" t="str">
        <f t="shared" si="18"/>
        <v/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15" t="str">
        <f t="shared" si="19"/>
        <v/>
      </c>
      <c r="O87" s="5"/>
      <c r="P87" s="15" t="str">
        <f>IF($K87="","",IF(O87="ตัดบัญชี",IFERROR(INDEX(Fee_ตัดบัญชี!$D:$D,MATCH(BB87,Fee_ตัดบัญชี!$C:$C,0)),0),0))</f>
        <v/>
      </c>
      <c r="Q87" s="15" t="str">
        <f>IF($K87="","",IF(O87="แจ้งย้าย",IFERROR(INDEX(Fee_แจ้งย้าย!$D:$D,MATCH(BB87,Fee_แจ้งย้าย!$C:$C,0)),0),0))</f>
        <v/>
      </c>
      <c r="R87" s="15" t="str">
        <f t="shared" si="20"/>
        <v/>
      </c>
      <c r="S87" s="5"/>
      <c r="T87" s="15" t="str">
        <f>IF($K87="","",IF(O87&lt;&gt;"ตัดบัญชี",0,IF(S87="กทม.",IFERROR(INDEX(Fee_ตรวจรถ_กทม!$D:$D,MATCH(BB87,Fee_ตรวจรถ_กทม!$C:$C,0)),0),IF(S87="ต่างจังหวัด",IFERROR(INDEX(Fee_ตรวจรถ_ตจว!$D:$D,MATCH(L87&amp;"|"&amp;K87,Fee_ตรวจรถ_ตจว!$C:$C,0)),0),0))))</f>
        <v/>
      </c>
      <c r="U87" s="15" t="str">
        <f t="shared" si="21"/>
        <v/>
      </c>
      <c r="V87" s="15" t="str">
        <f>IF($K87="","",IF(U87="รถยนต์",IF(N87="ใช่",INDEX(Fee_รถยนต์_Bill!$B:$B,MATCH("ค่าคำขอ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7" s="15" t="str">
        <f>IF($K87="","",IF(N87="ใช่",IF(U87="รถยนต์",INDEX(Fee_รถยนต์_Bill!$B:$B,MATCH("ค่าธรรมเนียมอื่นๆ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7" s="15" t="str">
        <f>IF($K87="","",IF(U87="รถยนต์",INDEX(Fee_รถยนต์_Bill!$B:$B,MATCH("ค่าตรวจสภาพรถ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7" s="15" t="str">
        <f>IF($K87="","",IF(U87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7" s="15" t="str">
        <f>IF($K87="","",IF(U87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7" s="5"/>
      <c r="AB87" s="5"/>
      <c r="AC87" s="15" t="str">
        <f>IF($K87="","",IF(AB87="เลขประมูล",INDEX(Fee_รถยนต์_Bill!$B:$B,MATCH("ค่าขอใช้เลขทะเบียน - เลขประมูล",Fee_รถยนต์_Bill!$A:$A,0)),IF(AB87="ไม่ใช่เลขประมูล",INDEX(Fee_รถยนต์_Bill!$B:$B,MATCH("ค่าขอใช้เลขทะเบียน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7" s="5"/>
      <c r="AE87" s="15" t="str">
        <f>IF($K87="","",IF(AD87="ป้ายขาวดำ",INDEX(Fee_รถยนต์_Bill!$B:$B,MATCH("ค่าทำแผ่นป้ายทะเบียนใหม่ - ป้ายขาวดำ",Fee_รถยนต์_Bill!$A:$A,0)),IF(AD87="ป้ายประมูล",INDEX(Fee_รถยนต์_Bill!$B:$B,MATCH("ค่าทำแผ่นป้ายทะเบียนใหม่ - ป้ายประมูล",Fee_รถยนต์_Bill!$A:$A,0)),0)))</f>
        <v/>
      </c>
      <c r="AF87" s="5"/>
      <c r="AG87" s="15" t="str">
        <f>IF($K87="","",IF(AF87="ใช่",INDEX(Fee_รถยนต์_Bill!$B:$B,MATCH("ค่าย้ายออกต่างจังหวัด",Fee_รถยนต์_Bill!$A:$A,0)),0))</f>
        <v/>
      </c>
      <c r="AH87" s="15" t="str">
        <f t="shared" si="22"/>
        <v/>
      </c>
      <c r="AI87" s="5"/>
      <c r="AJ87" s="15" t="str">
        <f>IF($K87="","",IF(U87="รถยนต์",IF(AI87="ใช่",INDEX(Fee_รถยนต์_NoBill!$B:$B,MATCH("ค่าอากร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7" s="15" t="str">
        <f>IF($K87="","",IF(U87="รถยนต์",IFERROR(INDEX(Fee_รถยนต์_NoBill!$B:$B,MATCH("ลงขัน - "&amp;K87,Fee_รถยนต์_NoBill!$A:$A,0)),0),IFERROR(INDEX(Fee_จยย_NoBill!$B:$B,MATCH("ลงขัน - รย.12 ทุกประเภท (CC)",Fee_จยย_NoBill!$A:$A,0)),0)))</f>
        <v/>
      </c>
      <c r="AL87" s="5"/>
      <c r="AM87" s="15" t="str">
        <f>IF($K87="","",IF(AL87="ใช่",IF(U87="รถยนต์",INDEX(Fee_รถยนต์_NoBill!$B:$B,MATCH("งานด่วนเพิ่ม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7" s="15" t="str">
        <f t="shared" si="23"/>
        <v/>
      </c>
      <c r="AO87" s="16" t="str">
        <f t="shared" si="24"/>
        <v/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7" t="str">
        <f t="shared" si="25"/>
        <v/>
      </c>
      <c r="BB87" s="7" t="str">
        <f t="shared" si="26"/>
        <v/>
      </c>
    </row>
    <row r="88" spans="1:54" x14ac:dyDescent="0.3">
      <c r="A88" s="15" t="str">
        <f t="shared" si="18"/>
        <v/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15" t="str">
        <f t="shared" si="19"/>
        <v/>
      </c>
      <c r="O88" s="5"/>
      <c r="P88" s="15" t="str">
        <f>IF($K88="","",IF(O88="ตัดบัญชี",IFERROR(INDEX(Fee_ตัดบัญชี!$D:$D,MATCH(BB88,Fee_ตัดบัญชี!$C:$C,0)),0),0))</f>
        <v/>
      </c>
      <c r="Q88" s="15" t="str">
        <f>IF($K88="","",IF(O88="แจ้งย้าย",IFERROR(INDEX(Fee_แจ้งย้าย!$D:$D,MATCH(BB88,Fee_แจ้งย้าย!$C:$C,0)),0),0))</f>
        <v/>
      </c>
      <c r="R88" s="15" t="str">
        <f t="shared" si="20"/>
        <v/>
      </c>
      <c r="S88" s="5"/>
      <c r="T88" s="15" t="str">
        <f>IF($K88="","",IF(O88&lt;&gt;"ตัดบัญชี",0,IF(S88="กทม.",IFERROR(INDEX(Fee_ตรวจรถ_กทม!$D:$D,MATCH(BB88,Fee_ตรวจรถ_กทม!$C:$C,0)),0),IF(S88="ต่างจังหวัด",IFERROR(INDEX(Fee_ตรวจรถ_ตจว!$D:$D,MATCH(L88&amp;"|"&amp;K88,Fee_ตรวจรถ_ตจว!$C:$C,0)),0),0))))</f>
        <v/>
      </c>
      <c r="U88" s="15" t="str">
        <f t="shared" si="21"/>
        <v/>
      </c>
      <c r="V88" s="15" t="str">
        <f>IF($K88="","",IF(U88="รถยนต์",IF(N88="ใช่",INDEX(Fee_รถยนต์_Bill!$B:$B,MATCH("ค่าคำขอ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8" s="15" t="str">
        <f>IF($K88="","",IF(N88="ใช่",IF(U88="รถยนต์",INDEX(Fee_รถยนต์_Bill!$B:$B,MATCH("ค่าธรรมเนียมอื่นๆ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8" s="15" t="str">
        <f>IF($K88="","",IF(U88="รถยนต์",INDEX(Fee_รถยนต์_Bill!$B:$B,MATCH("ค่าตรวจสภาพรถ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8" s="15" t="str">
        <f>IF($K88="","",IF(U88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8" s="15" t="str">
        <f>IF($K88="","",IF(U88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8" s="5"/>
      <c r="AB88" s="5"/>
      <c r="AC88" s="15" t="str">
        <f>IF($K88="","",IF(AB88="เลขประมูล",INDEX(Fee_รถยนต์_Bill!$B:$B,MATCH("ค่าขอใช้เลขทะเบียน - เลขประมูล",Fee_รถยนต์_Bill!$A:$A,0)),IF(AB88="ไม่ใช่เลขประมูล",INDEX(Fee_รถยนต์_Bill!$B:$B,MATCH("ค่าขอใช้เลขทะเบียน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8" s="5"/>
      <c r="AE88" s="15" t="str">
        <f>IF($K88="","",IF(AD88="ป้ายขาวดำ",INDEX(Fee_รถยนต์_Bill!$B:$B,MATCH("ค่าทำแผ่นป้ายทะเบียนใหม่ - ป้ายขาวดำ",Fee_รถยนต์_Bill!$A:$A,0)),IF(AD88="ป้ายประมูล",INDEX(Fee_รถยนต์_Bill!$B:$B,MATCH("ค่าทำแผ่นป้ายทะเบียนใหม่ - ป้ายประมูล",Fee_รถยนต์_Bill!$A:$A,0)),0)))</f>
        <v/>
      </c>
      <c r="AF88" s="5"/>
      <c r="AG88" s="15" t="str">
        <f>IF($K88="","",IF(AF88="ใช่",INDEX(Fee_รถยนต์_Bill!$B:$B,MATCH("ค่าย้ายออกต่างจังหวัด",Fee_รถยนต์_Bill!$A:$A,0)),0))</f>
        <v/>
      </c>
      <c r="AH88" s="15" t="str">
        <f t="shared" si="22"/>
        <v/>
      </c>
      <c r="AI88" s="5"/>
      <c r="AJ88" s="15" t="str">
        <f>IF($K88="","",IF(U88="รถยนต์",IF(AI88="ใช่",INDEX(Fee_รถยนต์_NoBill!$B:$B,MATCH("ค่าอากร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8" s="15" t="str">
        <f>IF($K88="","",IF(U88="รถยนต์",IFERROR(INDEX(Fee_รถยนต์_NoBill!$B:$B,MATCH("ลงขัน - "&amp;K88,Fee_รถยนต์_NoBill!$A:$A,0)),0),IFERROR(INDEX(Fee_จยย_NoBill!$B:$B,MATCH("ลงขัน - รย.12 ทุกประเภท (CC)",Fee_จยย_NoBill!$A:$A,0)),0)))</f>
        <v/>
      </c>
      <c r="AL88" s="5"/>
      <c r="AM88" s="15" t="str">
        <f>IF($K88="","",IF(AL88="ใช่",IF(U88="รถยนต์",INDEX(Fee_รถยนต์_NoBill!$B:$B,MATCH("งานด่วนเพิ่ม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8" s="15" t="str">
        <f t="shared" si="23"/>
        <v/>
      </c>
      <c r="AO88" s="16" t="str">
        <f t="shared" si="24"/>
        <v/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7" t="str">
        <f t="shared" si="25"/>
        <v/>
      </c>
      <c r="BB88" s="7" t="str">
        <f t="shared" si="26"/>
        <v/>
      </c>
    </row>
    <row r="89" spans="1:54" x14ac:dyDescent="0.3">
      <c r="A89" s="15" t="str">
        <f t="shared" si="18"/>
        <v/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15" t="str">
        <f t="shared" si="19"/>
        <v/>
      </c>
      <c r="O89" s="5"/>
      <c r="P89" s="15" t="str">
        <f>IF($K89="","",IF(O89="ตัดบัญชี",IFERROR(INDEX(Fee_ตัดบัญชี!$D:$D,MATCH(BB89,Fee_ตัดบัญชี!$C:$C,0)),0),0))</f>
        <v/>
      </c>
      <c r="Q89" s="15" t="str">
        <f>IF($K89="","",IF(O89="แจ้งย้าย",IFERROR(INDEX(Fee_แจ้งย้าย!$D:$D,MATCH(BB89,Fee_แจ้งย้าย!$C:$C,0)),0),0))</f>
        <v/>
      </c>
      <c r="R89" s="15" t="str">
        <f t="shared" si="20"/>
        <v/>
      </c>
      <c r="S89" s="5"/>
      <c r="T89" s="15" t="str">
        <f>IF($K89="","",IF(O89&lt;&gt;"ตัดบัญชี",0,IF(S89="กทม.",IFERROR(INDEX(Fee_ตรวจรถ_กทม!$D:$D,MATCH(BB89,Fee_ตรวจรถ_กทม!$C:$C,0)),0),IF(S89="ต่างจังหวัด",IFERROR(INDEX(Fee_ตรวจรถ_ตจว!$D:$D,MATCH(L89&amp;"|"&amp;K89,Fee_ตรวจรถ_ตจว!$C:$C,0)),0),0))))</f>
        <v/>
      </c>
      <c r="U89" s="15" t="str">
        <f t="shared" si="21"/>
        <v/>
      </c>
      <c r="V89" s="15" t="str">
        <f>IF($K89="","",IF(U89="รถยนต์",IF(N89="ใช่",INDEX(Fee_รถยนต์_Bill!$B:$B,MATCH("ค่าคำขอ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(ปกติ)",Fee_รถยนต์_Bill!$A:$A,0))),IF(N89="ใช่",INDEX(Fee_จยย_Bill!$B:$B,MATCH("ค่าคำขอ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89" s="15" t="str">
        <f>IF($K89="","",IF(N89="ใช่",IF(U89="รถยนต์",INDEX(Fee_รถยนต์_Bill!$B:$B,MATCH("ค่าธรรมเนียมอื่นๆ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89" s="15" t="str">
        <f>IF($K89="","",IF(U89="รถยนต์",INDEX(Fee_รถยนต์_Bill!$B:$B,MATCH("ค่าตรวจสภาพรถ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89" s="15" t="str">
        <f>IF($K89="","",IF(U89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89" s="15" t="str">
        <f>IF($K89="","",IF(U89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89" s="5"/>
      <c r="AB89" s="5"/>
      <c r="AC89" s="15" t="str">
        <f>IF($K89="","",IF(AB89="เลขประมูล",INDEX(Fee_รถยนต์_Bill!$B:$B,MATCH("ค่าขอใช้เลขทะเบียน - เลขประมูล",Fee_รถยนต์_Bill!$A:$A,0)),IF(AB89="ไม่ใช่เลขประมูล",INDEX(Fee_รถยนต์_Bill!$B:$B,MATCH("ค่าขอใช้เลขทะเบียน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89" s="5"/>
      <c r="AE89" s="15" t="str">
        <f>IF($K89="","",IF(AD89="ป้ายขาวดำ",INDEX(Fee_รถยนต์_Bill!$B:$B,MATCH("ค่าทำแผ่นป้ายทะเบียนใหม่ - ป้ายขาวดำ",Fee_รถยนต์_Bill!$A:$A,0)),IF(AD89="ป้ายประมูล",INDEX(Fee_รถยนต์_Bill!$B:$B,MATCH("ค่าทำแผ่นป้ายทะเบียนใหม่ - ป้ายประมูล",Fee_รถยนต์_Bill!$A:$A,0)),0)))</f>
        <v/>
      </c>
      <c r="AF89" s="5"/>
      <c r="AG89" s="15" t="str">
        <f>IF($K89="","",IF(AF89="ใช่",INDEX(Fee_รถยนต์_Bill!$B:$B,MATCH("ค่าย้ายออกต่างจังหวัด",Fee_รถยนต์_Bill!$A:$A,0)),0))</f>
        <v/>
      </c>
      <c r="AH89" s="15" t="str">
        <f t="shared" si="22"/>
        <v/>
      </c>
      <c r="AI89" s="5"/>
      <c r="AJ89" s="15" t="str">
        <f>IF($K89="","",IF(U89="รถยนต์",IF(AI89="ใช่",INDEX(Fee_รถยนต์_NoBill!$B:$B,MATCH("ค่าอากร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(ปกติ)",Fee_รถยนต์_NoBill!$A:$A,0))),IF(AI89="ใช่",INDEX(Fee_จยย_NoBill!$B:$B,MATCH("ค่าอากร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89" s="15" t="str">
        <f>IF($K89="","",IF(U89="รถยนต์",IFERROR(INDEX(Fee_รถยนต์_NoBill!$B:$B,MATCH("ลงขัน - "&amp;K89,Fee_รถยนต์_NoBill!$A:$A,0)),0),IFERROR(INDEX(Fee_จยย_NoBill!$B:$B,MATCH("ลงขัน - รย.12 ทุกประเภท (CC)",Fee_จยย_NoBill!$A:$A,0)),0)))</f>
        <v/>
      </c>
      <c r="AL89" s="5"/>
      <c r="AM89" s="15" t="str">
        <f>IF($K89="","",IF(AL89="ใช่",IF(U89="รถยนต์",INDEX(Fee_รถยนต์_NoBill!$B:$B,MATCH("งานด่วนเพิ่ม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89" s="15" t="str">
        <f t="shared" si="23"/>
        <v/>
      </c>
      <c r="AO89" s="16" t="str">
        <f t="shared" si="24"/>
        <v/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7" t="str">
        <f t="shared" si="25"/>
        <v/>
      </c>
      <c r="BB89" s="7" t="str">
        <f t="shared" si="26"/>
        <v/>
      </c>
    </row>
    <row r="90" spans="1:54" x14ac:dyDescent="0.3">
      <c r="A90" s="15" t="str">
        <f t="shared" si="18"/>
        <v/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15" t="str">
        <f t="shared" si="19"/>
        <v/>
      </c>
      <c r="O90" s="5"/>
      <c r="P90" s="15" t="str">
        <f>IF($K90="","",IF(O90="ตัดบัญชี",IFERROR(INDEX(Fee_ตัดบัญชี!$D:$D,MATCH(BB90,Fee_ตัดบัญชี!$C:$C,0)),0),0))</f>
        <v/>
      </c>
      <c r="Q90" s="15" t="str">
        <f>IF($K90="","",IF(O90="แจ้งย้าย",IFERROR(INDEX(Fee_แจ้งย้าย!$D:$D,MATCH(BB90,Fee_แจ้งย้าย!$C:$C,0)),0),0))</f>
        <v/>
      </c>
      <c r="R90" s="15" t="str">
        <f t="shared" si="20"/>
        <v/>
      </c>
      <c r="S90" s="5"/>
      <c r="T90" s="15" t="str">
        <f>IF($K90="","",IF(O90&lt;&gt;"ตัดบัญชี",0,IF(S90="กทม.",IFERROR(INDEX(Fee_ตรวจรถ_กทม!$D:$D,MATCH(BB90,Fee_ตรวจรถ_กทม!$C:$C,0)),0),IF(S90="ต่างจังหวัด",IFERROR(INDEX(Fee_ตรวจรถ_ตจว!$D:$D,MATCH(L90&amp;"|"&amp;K90,Fee_ตรวจรถ_ตจว!$C:$C,0)),0),0))))</f>
        <v/>
      </c>
      <c r="U90" s="15" t="str">
        <f t="shared" si="21"/>
        <v/>
      </c>
      <c r="V90" s="15" t="str">
        <f>IF($K90="","",IF(U90="รถยนต์",IF(N90="ใช่",INDEX(Fee_รถยนต์_Bill!$B:$B,MATCH("ค่าคำขอ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0" s="15" t="str">
        <f>IF($K90="","",IF(N90="ใช่",IF(U90="รถยนต์",INDEX(Fee_รถยนต์_Bill!$B:$B,MATCH("ค่าธรรมเนียมอื่นๆ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0" s="15" t="str">
        <f>IF($K90="","",IF(U90="รถยนต์",INDEX(Fee_รถยนต์_Bill!$B:$B,MATCH("ค่าตรวจสภาพรถ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0" s="15" t="str">
        <f>IF($K90="","",IF(U90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0" s="15" t="str">
        <f>IF($K90="","",IF(U90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0" s="5"/>
      <c r="AB90" s="5"/>
      <c r="AC90" s="15" t="str">
        <f>IF($K90="","",IF(AB90="เลขประมูล",INDEX(Fee_รถยนต์_Bill!$B:$B,MATCH("ค่าขอใช้เลขทะเบียน - เลขประมูล",Fee_รถยนต์_Bill!$A:$A,0)),IF(AB90="ไม่ใช่เลขประมูล",INDEX(Fee_รถยนต์_Bill!$B:$B,MATCH("ค่าขอใช้เลขทะเบียน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0" s="5"/>
      <c r="AE90" s="15" t="str">
        <f>IF($K90="","",IF(AD90="ป้ายขาวดำ",INDEX(Fee_รถยนต์_Bill!$B:$B,MATCH("ค่าทำแผ่นป้ายทะเบียนใหม่ - ป้ายขาวดำ",Fee_รถยนต์_Bill!$A:$A,0)),IF(AD90="ป้ายประมูล",INDEX(Fee_รถยนต์_Bill!$B:$B,MATCH("ค่าทำแผ่นป้ายทะเบียนใหม่ - ป้ายประมูล",Fee_รถยนต์_Bill!$A:$A,0)),0)))</f>
        <v/>
      </c>
      <c r="AF90" s="5"/>
      <c r="AG90" s="15" t="str">
        <f>IF($K90="","",IF(AF90="ใช่",INDEX(Fee_รถยนต์_Bill!$B:$B,MATCH("ค่าย้ายออกต่างจังหวัด",Fee_รถยนต์_Bill!$A:$A,0)),0))</f>
        <v/>
      </c>
      <c r="AH90" s="15" t="str">
        <f t="shared" si="22"/>
        <v/>
      </c>
      <c r="AI90" s="5"/>
      <c r="AJ90" s="15" t="str">
        <f>IF($K90="","",IF(U90="รถยนต์",IF(AI90="ใช่",INDEX(Fee_รถยนต์_NoBill!$B:$B,MATCH("ค่าอากร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0" s="15" t="str">
        <f>IF($K90="","",IF(U90="รถยนต์",IFERROR(INDEX(Fee_รถยนต์_NoBill!$B:$B,MATCH("ลงขัน - "&amp;K90,Fee_รถยนต์_NoBill!$A:$A,0)),0),IFERROR(INDEX(Fee_จยย_NoBill!$B:$B,MATCH("ลงขัน - รย.12 ทุกประเภท (CC)",Fee_จยย_NoBill!$A:$A,0)),0)))</f>
        <v/>
      </c>
      <c r="AL90" s="5"/>
      <c r="AM90" s="15" t="str">
        <f>IF($K90="","",IF(AL90="ใช่",IF(U90="รถยนต์",INDEX(Fee_รถยนต์_NoBill!$B:$B,MATCH("งานด่วนเพิ่ม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0" s="15" t="str">
        <f t="shared" si="23"/>
        <v/>
      </c>
      <c r="AO90" s="16" t="str">
        <f t="shared" si="24"/>
        <v/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7" t="str">
        <f t="shared" si="25"/>
        <v/>
      </c>
      <c r="BB90" s="7" t="str">
        <f t="shared" si="26"/>
        <v/>
      </c>
    </row>
    <row r="91" spans="1:54" x14ac:dyDescent="0.3">
      <c r="A91" s="15" t="str">
        <f t="shared" si="18"/>
        <v/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15" t="str">
        <f t="shared" si="19"/>
        <v/>
      </c>
      <c r="O91" s="5"/>
      <c r="P91" s="15" t="str">
        <f>IF($K91="","",IF(O91="ตัดบัญชี",IFERROR(INDEX(Fee_ตัดบัญชี!$D:$D,MATCH(BB91,Fee_ตัดบัญชี!$C:$C,0)),0),0))</f>
        <v/>
      </c>
      <c r="Q91" s="15" t="str">
        <f>IF($K91="","",IF(O91="แจ้งย้าย",IFERROR(INDEX(Fee_แจ้งย้าย!$D:$D,MATCH(BB91,Fee_แจ้งย้าย!$C:$C,0)),0),0))</f>
        <v/>
      </c>
      <c r="R91" s="15" t="str">
        <f t="shared" si="20"/>
        <v/>
      </c>
      <c r="S91" s="5"/>
      <c r="T91" s="15" t="str">
        <f>IF($K91="","",IF(O91&lt;&gt;"ตัดบัญชี",0,IF(S91="กทม.",IFERROR(INDEX(Fee_ตรวจรถ_กทม!$D:$D,MATCH(BB91,Fee_ตรวจรถ_กทม!$C:$C,0)),0),IF(S91="ต่างจังหวัด",IFERROR(INDEX(Fee_ตรวจรถ_ตจว!$D:$D,MATCH(L91&amp;"|"&amp;K91,Fee_ตรวจรถ_ตจว!$C:$C,0)),0),0))))</f>
        <v/>
      </c>
      <c r="U91" s="15" t="str">
        <f t="shared" si="21"/>
        <v/>
      </c>
      <c r="V91" s="15" t="str">
        <f>IF($K91="","",IF(U91="รถยนต์",IF(N91="ใช่",INDEX(Fee_รถยนต์_Bill!$B:$B,MATCH("ค่าคำขอ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1" s="15" t="str">
        <f>IF($K91="","",IF(N91="ใช่",IF(U91="รถยนต์",INDEX(Fee_รถยนต์_Bill!$B:$B,MATCH("ค่าธรรมเนียมอื่นๆ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1" s="15" t="str">
        <f>IF($K91="","",IF(U91="รถยนต์",INDEX(Fee_รถยนต์_Bill!$B:$B,MATCH("ค่าตรวจสภาพรถ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1" s="15" t="str">
        <f>IF($K91="","",IF(U91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1" s="15" t="str">
        <f>IF($K91="","",IF(U91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1" s="5"/>
      <c r="AB91" s="5"/>
      <c r="AC91" s="15" t="str">
        <f>IF($K91="","",IF(AB91="เลขประมูล",INDEX(Fee_รถยนต์_Bill!$B:$B,MATCH("ค่าขอใช้เลขทะเบียน - เลขประมูล",Fee_รถยนต์_Bill!$A:$A,0)),IF(AB91="ไม่ใช่เลขประมูล",INDEX(Fee_รถยนต์_Bill!$B:$B,MATCH("ค่าขอใช้เลขทะเบียน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1" s="5"/>
      <c r="AE91" s="15" t="str">
        <f>IF($K91="","",IF(AD91="ป้ายขาวดำ",INDEX(Fee_รถยนต์_Bill!$B:$B,MATCH("ค่าทำแผ่นป้ายทะเบียนใหม่ - ป้ายขาวดำ",Fee_รถยนต์_Bill!$A:$A,0)),IF(AD91="ป้ายประมูล",INDEX(Fee_รถยนต์_Bill!$B:$B,MATCH("ค่าทำแผ่นป้ายทะเบียนใหม่ - ป้ายประมูล",Fee_รถยนต์_Bill!$A:$A,0)),0)))</f>
        <v/>
      </c>
      <c r="AF91" s="5"/>
      <c r="AG91" s="15" t="str">
        <f>IF($K91="","",IF(AF91="ใช่",INDEX(Fee_รถยนต์_Bill!$B:$B,MATCH("ค่าย้ายออกต่างจังหวัด",Fee_รถยนต์_Bill!$A:$A,0)),0))</f>
        <v/>
      </c>
      <c r="AH91" s="15" t="str">
        <f t="shared" si="22"/>
        <v/>
      </c>
      <c r="AI91" s="5"/>
      <c r="AJ91" s="15" t="str">
        <f>IF($K91="","",IF(U91="รถยนต์",IF(AI91="ใช่",INDEX(Fee_รถยนต์_NoBill!$B:$B,MATCH("ค่าอากร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1" s="15" t="str">
        <f>IF($K91="","",IF(U91="รถยนต์",IFERROR(INDEX(Fee_รถยนต์_NoBill!$B:$B,MATCH("ลงขัน - "&amp;K91,Fee_รถยนต์_NoBill!$A:$A,0)),0),IFERROR(INDEX(Fee_จยย_NoBill!$B:$B,MATCH("ลงขัน - รย.12 ทุกประเภท (CC)",Fee_จยย_NoBill!$A:$A,0)),0)))</f>
        <v/>
      </c>
      <c r="AL91" s="5"/>
      <c r="AM91" s="15" t="str">
        <f>IF($K91="","",IF(AL91="ใช่",IF(U91="รถยนต์",INDEX(Fee_รถยนต์_NoBill!$B:$B,MATCH("งานด่วนเพิ่ม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1" s="15" t="str">
        <f t="shared" si="23"/>
        <v/>
      </c>
      <c r="AO91" s="16" t="str">
        <f t="shared" si="24"/>
        <v/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7" t="str">
        <f t="shared" si="25"/>
        <v/>
      </c>
      <c r="BB91" s="7" t="str">
        <f t="shared" si="26"/>
        <v/>
      </c>
    </row>
    <row r="92" spans="1:54" x14ac:dyDescent="0.3">
      <c r="A92" s="15" t="str">
        <f t="shared" si="18"/>
        <v/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15" t="str">
        <f t="shared" si="19"/>
        <v/>
      </c>
      <c r="O92" s="5"/>
      <c r="P92" s="15" t="str">
        <f>IF($K92="","",IF(O92="ตัดบัญชี",IFERROR(INDEX(Fee_ตัดบัญชี!$D:$D,MATCH(BB92,Fee_ตัดบัญชี!$C:$C,0)),0),0))</f>
        <v/>
      </c>
      <c r="Q92" s="15" t="str">
        <f>IF($K92="","",IF(O92="แจ้งย้าย",IFERROR(INDEX(Fee_แจ้งย้าย!$D:$D,MATCH(BB92,Fee_แจ้งย้าย!$C:$C,0)),0),0))</f>
        <v/>
      </c>
      <c r="R92" s="15" t="str">
        <f t="shared" si="20"/>
        <v/>
      </c>
      <c r="S92" s="5"/>
      <c r="T92" s="15" t="str">
        <f>IF($K92="","",IF(O92&lt;&gt;"ตัดบัญชี",0,IF(S92="กทม.",IFERROR(INDEX(Fee_ตรวจรถ_กทม!$D:$D,MATCH(BB92,Fee_ตรวจรถ_กทม!$C:$C,0)),0),IF(S92="ต่างจังหวัด",IFERROR(INDEX(Fee_ตรวจรถ_ตจว!$D:$D,MATCH(L92&amp;"|"&amp;K92,Fee_ตรวจรถ_ตจว!$C:$C,0)),0),0))))</f>
        <v/>
      </c>
      <c r="U92" s="15" t="str">
        <f t="shared" si="21"/>
        <v/>
      </c>
      <c r="V92" s="15" t="str">
        <f>IF($K92="","",IF(U92="รถยนต์",IF(N92="ใช่",INDEX(Fee_รถยนต์_Bill!$B:$B,MATCH("ค่าคำขอ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(ปกติ)",Fee_รถยนต์_Bill!$A:$A,0))),IF(N92="ใช่",INDEX(Fee_จยย_Bill!$B:$B,MATCH("ค่าคำขอ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2" s="15" t="str">
        <f>IF($K92="","",IF(N92="ใช่",IF(U92="รถยนต์",INDEX(Fee_รถยนต์_Bill!$B:$B,MATCH("ค่าธรรมเนียมอื่นๆ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2" s="15" t="str">
        <f>IF($K92="","",IF(U92="รถยนต์",INDEX(Fee_รถยนต์_Bill!$B:$B,MATCH("ค่าตรวจสภาพรถ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2" s="15" t="str">
        <f>IF($K92="","",IF(U92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2" s="15" t="str">
        <f>IF($K92="","",IF(U92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2" s="5"/>
      <c r="AB92" s="5"/>
      <c r="AC92" s="15" t="str">
        <f>IF($K92="","",IF(AB92="เลขประมูล",INDEX(Fee_รถยนต์_Bill!$B:$B,MATCH("ค่าขอใช้เลขทะเบียน - เลขประมูล",Fee_รถยนต์_Bill!$A:$A,0)),IF(AB92="ไม่ใช่เลขประมูล",INDEX(Fee_รถยนต์_Bill!$B:$B,MATCH("ค่าขอใช้เลขทะเบียน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2" s="5"/>
      <c r="AE92" s="15" t="str">
        <f>IF($K92="","",IF(AD92="ป้ายขาวดำ",INDEX(Fee_รถยนต์_Bill!$B:$B,MATCH("ค่าทำแผ่นป้ายทะเบียนใหม่ - ป้ายขาวดำ",Fee_รถยนต์_Bill!$A:$A,0)),IF(AD92="ป้ายประมูล",INDEX(Fee_รถยนต์_Bill!$B:$B,MATCH("ค่าทำแผ่นป้ายทะเบียนใหม่ - ป้ายประมูล",Fee_รถยนต์_Bill!$A:$A,0)),0)))</f>
        <v/>
      </c>
      <c r="AF92" s="5"/>
      <c r="AG92" s="15" t="str">
        <f>IF($K92="","",IF(AF92="ใช่",INDEX(Fee_รถยนต์_Bill!$B:$B,MATCH("ค่าย้ายออกต่างจังหวัด",Fee_รถยนต์_Bill!$A:$A,0)),0))</f>
        <v/>
      </c>
      <c r="AH92" s="15" t="str">
        <f t="shared" si="22"/>
        <v/>
      </c>
      <c r="AI92" s="5"/>
      <c r="AJ92" s="15" t="str">
        <f>IF($K92="","",IF(U92="รถยนต์",IF(AI92="ใช่",INDEX(Fee_รถยนต์_NoBill!$B:$B,MATCH("ค่าอากร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(ปกติ)",Fee_รถยนต์_NoBill!$A:$A,0))),IF(AI92="ใช่",INDEX(Fee_จยย_NoBill!$B:$B,MATCH("ค่าอากร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2" s="15" t="str">
        <f>IF($K92="","",IF(U92="รถยนต์",IFERROR(INDEX(Fee_รถยนต์_NoBill!$B:$B,MATCH("ลงขัน - "&amp;K92,Fee_รถยนต์_NoBill!$A:$A,0)),0),IFERROR(INDEX(Fee_จยย_NoBill!$B:$B,MATCH("ลงขัน - รย.12 ทุกประเภท (CC)",Fee_จยย_NoBill!$A:$A,0)),0)))</f>
        <v/>
      </c>
      <c r="AL92" s="5"/>
      <c r="AM92" s="15" t="str">
        <f>IF($K92="","",IF(AL92="ใช่",IF(U92="รถยนต์",INDEX(Fee_รถยนต์_NoBill!$B:$B,MATCH("งานด่วนเพิ่ม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2" s="15" t="str">
        <f t="shared" si="23"/>
        <v/>
      </c>
      <c r="AO92" s="16" t="str">
        <f t="shared" si="24"/>
        <v/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7" t="str">
        <f t="shared" si="25"/>
        <v/>
      </c>
      <c r="BB92" s="7" t="str">
        <f t="shared" si="26"/>
        <v/>
      </c>
    </row>
    <row r="93" spans="1:54" x14ac:dyDescent="0.3">
      <c r="A93" s="15" t="str">
        <f t="shared" si="18"/>
        <v/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15" t="str">
        <f t="shared" si="19"/>
        <v/>
      </c>
      <c r="O93" s="5"/>
      <c r="P93" s="15" t="str">
        <f>IF($K93="","",IF(O93="ตัดบัญชี",IFERROR(INDEX(Fee_ตัดบัญชี!$D:$D,MATCH(BB93,Fee_ตัดบัญชี!$C:$C,0)),0),0))</f>
        <v/>
      </c>
      <c r="Q93" s="15" t="str">
        <f>IF($K93="","",IF(O93="แจ้งย้าย",IFERROR(INDEX(Fee_แจ้งย้าย!$D:$D,MATCH(BB93,Fee_แจ้งย้าย!$C:$C,0)),0),0))</f>
        <v/>
      </c>
      <c r="R93" s="15" t="str">
        <f t="shared" si="20"/>
        <v/>
      </c>
      <c r="S93" s="5"/>
      <c r="T93" s="15" t="str">
        <f>IF($K93="","",IF(O93&lt;&gt;"ตัดบัญชี",0,IF(S93="กทม.",IFERROR(INDEX(Fee_ตรวจรถ_กทม!$D:$D,MATCH(BB93,Fee_ตรวจรถ_กทม!$C:$C,0)),0),IF(S93="ต่างจังหวัด",IFERROR(INDEX(Fee_ตรวจรถ_ตจว!$D:$D,MATCH(L93&amp;"|"&amp;K93,Fee_ตรวจรถ_ตจว!$C:$C,0)),0),0))))</f>
        <v/>
      </c>
      <c r="U93" s="15" t="str">
        <f t="shared" si="21"/>
        <v/>
      </c>
      <c r="V93" s="15" t="str">
        <f>IF($K93="","",IF(U93="รถยนต์",IF(N93="ใช่",INDEX(Fee_รถยนต์_Bill!$B:$B,MATCH("ค่าคำขอ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(ปกติ)",Fee_รถยนต์_Bill!$A:$A,0))),IF(N93="ใช่",INDEX(Fee_จยย_Bill!$B:$B,MATCH("ค่าคำขอ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3" s="15" t="str">
        <f>IF($K93="","",IF(N93="ใช่",IF(U93="รถยนต์",INDEX(Fee_รถยนต์_Bill!$B:$B,MATCH("ค่าธรรมเนียมอื่นๆ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3" s="15" t="str">
        <f>IF($K93="","",IF(U93="รถยนต์",INDEX(Fee_รถยนต์_Bill!$B:$B,MATCH("ค่าตรวจสภาพรถ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3" s="15" t="str">
        <f>IF($K93="","",IF(U93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3" s="15" t="str">
        <f>IF($K93="","",IF(U93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3" s="5"/>
      <c r="AB93" s="5"/>
      <c r="AC93" s="15" t="str">
        <f>IF($K93="","",IF(AB93="เลขประมูล",INDEX(Fee_รถยนต์_Bill!$B:$B,MATCH("ค่าขอใช้เลขทะเบียน - เลขประมูล",Fee_รถยนต์_Bill!$A:$A,0)),IF(AB93="ไม่ใช่เลขประมูล",INDEX(Fee_รถยนต์_Bill!$B:$B,MATCH("ค่าขอใช้เลขทะเบียน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3" s="5"/>
      <c r="AE93" s="15" t="str">
        <f>IF($K93="","",IF(AD93="ป้ายขาวดำ",INDEX(Fee_รถยนต์_Bill!$B:$B,MATCH("ค่าทำแผ่นป้ายทะเบียนใหม่ - ป้ายขาวดำ",Fee_รถยนต์_Bill!$A:$A,0)),IF(AD93="ป้ายประมูล",INDEX(Fee_รถยนต์_Bill!$B:$B,MATCH("ค่าทำแผ่นป้ายทะเบียนใหม่ - ป้ายประมูล",Fee_รถยนต์_Bill!$A:$A,0)),0)))</f>
        <v/>
      </c>
      <c r="AF93" s="5"/>
      <c r="AG93" s="15" t="str">
        <f>IF($K93="","",IF(AF93="ใช่",INDEX(Fee_รถยนต์_Bill!$B:$B,MATCH("ค่าย้ายออกต่างจังหวัด",Fee_รถยนต์_Bill!$A:$A,0)),0))</f>
        <v/>
      </c>
      <c r="AH93" s="15" t="str">
        <f t="shared" si="22"/>
        <v/>
      </c>
      <c r="AI93" s="5"/>
      <c r="AJ93" s="15" t="str">
        <f>IF($K93="","",IF(U93="รถยนต์",IF(AI93="ใช่",INDEX(Fee_รถยนต์_NoBill!$B:$B,MATCH("ค่าอากร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(ปกติ)",Fee_รถยนต์_NoBill!$A:$A,0))),IF(AI93="ใช่",INDEX(Fee_จยย_NoBill!$B:$B,MATCH("ค่าอากร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3" s="15" t="str">
        <f>IF($K93="","",IF(U93="รถยนต์",IFERROR(INDEX(Fee_รถยนต์_NoBill!$B:$B,MATCH("ลงขัน - "&amp;K93,Fee_รถยนต์_NoBill!$A:$A,0)),0),IFERROR(INDEX(Fee_จยย_NoBill!$B:$B,MATCH("ลงขัน - รย.12 ทุกประเภท (CC)",Fee_จยย_NoBill!$A:$A,0)),0)))</f>
        <v/>
      </c>
      <c r="AL93" s="5"/>
      <c r="AM93" s="15" t="str">
        <f>IF($K93="","",IF(AL93="ใช่",IF(U93="รถยนต์",INDEX(Fee_รถยนต์_NoBill!$B:$B,MATCH("งานด่วนเพิ่ม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3" s="15" t="str">
        <f t="shared" si="23"/>
        <v/>
      </c>
      <c r="AO93" s="16" t="str">
        <f t="shared" si="24"/>
        <v/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7" t="str">
        <f t="shared" si="25"/>
        <v/>
      </c>
      <c r="BB93" s="7" t="str">
        <f t="shared" si="26"/>
        <v/>
      </c>
    </row>
    <row r="94" spans="1:54" x14ac:dyDescent="0.3">
      <c r="A94" s="15" t="str">
        <f t="shared" si="18"/>
        <v/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15" t="str">
        <f t="shared" si="19"/>
        <v/>
      </c>
      <c r="O94" s="5"/>
      <c r="P94" s="15" t="str">
        <f>IF($K94="","",IF(O94="ตัดบัญชี",IFERROR(INDEX(Fee_ตัดบัญชี!$D:$D,MATCH(BB94,Fee_ตัดบัญชี!$C:$C,0)),0),0))</f>
        <v/>
      </c>
      <c r="Q94" s="15" t="str">
        <f>IF($K94="","",IF(O94="แจ้งย้าย",IFERROR(INDEX(Fee_แจ้งย้าย!$D:$D,MATCH(BB94,Fee_แจ้งย้าย!$C:$C,0)),0),0))</f>
        <v/>
      </c>
      <c r="R94" s="15" t="str">
        <f t="shared" si="20"/>
        <v/>
      </c>
      <c r="S94" s="5"/>
      <c r="T94" s="15" t="str">
        <f>IF($K94="","",IF(O94&lt;&gt;"ตัดบัญชี",0,IF(S94="กทม.",IFERROR(INDEX(Fee_ตรวจรถ_กทม!$D:$D,MATCH(BB94,Fee_ตรวจรถ_กทม!$C:$C,0)),0),IF(S94="ต่างจังหวัด",IFERROR(INDEX(Fee_ตรวจรถ_ตจว!$D:$D,MATCH(L94&amp;"|"&amp;K94,Fee_ตรวจรถ_ตจว!$C:$C,0)),0),0))))</f>
        <v/>
      </c>
      <c r="U94" s="15" t="str">
        <f t="shared" si="21"/>
        <v/>
      </c>
      <c r="V94" s="15" t="str">
        <f>IF($K94="","",IF(U94="รถยนต์",IF(N94="ใช่",INDEX(Fee_รถยนต์_Bill!$B:$B,MATCH("ค่าคำขอ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(ปกติ)",Fee_รถยนต์_Bill!$A:$A,0))),IF(N94="ใช่",INDEX(Fee_จยย_Bill!$B:$B,MATCH("ค่าคำขอ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4" s="15" t="str">
        <f>IF($K94="","",IF(N94="ใช่",IF(U94="รถยนต์",INDEX(Fee_รถยนต์_Bill!$B:$B,MATCH("ค่าธรรมเนียมอื่นๆ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4" s="15" t="str">
        <f>IF($K94="","",IF(U94="รถยนต์",INDEX(Fee_รถยนต์_Bill!$B:$B,MATCH("ค่าตรวจสภาพรถ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4" s="15" t="str">
        <f>IF($K94="","",IF(U94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4" s="15" t="str">
        <f>IF($K94="","",IF(U94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4" s="5"/>
      <c r="AB94" s="5"/>
      <c r="AC94" s="15" t="str">
        <f>IF($K94="","",IF(AB94="เลขประมูล",INDEX(Fee_รถยนต์_Bill!$B:$B,MATCH("ค่าขอใช้เลขทะเบียน - เลขประมูล",Fee_รถยนต์_Bill!$A:$A,0)),IF(AB94="ไม่ใช่เลขประมูล",INDEX(Fee_รถยนต์_Bill!$B:$B,MATCH("ค่าขอใช้เลขทะเบียน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4" s="5"/>
      <c r="AE94" s="15" t="str">
        <f>IF($K94="","",IF(AD94="ป้ายขาวดำ",INDEX(Fee_รถยนต์_Bill!$B:$B,MATCH("ค่าทำแผ่นป้ายทะเบียนใหม่ - ป้ายขาวดำ",Fee_รถยนต์_Bill!$A:$A,0)),IF(AD94="ป้ายประมูล",INDEX(Fee_รถยนต์_Bill!$B:$B,MATCH("ค่าทำแผ่นป้ายทะเบียนใหม่ - ป้ายประมูล",Fee_รถยนต์_Bill!$A:$A,0)),0)))</f>
        <v/>
      </c>
      <c r="AF94" s="5"/>
      <c r="AG94" s="15" t="str">
        <f>IF($K94="","",IF(AF94="ใช่",INDEX(Fee_รถยนต์_Bill!$B:$B,MATCH("ค่าย้ายออกต่างจังหวัด",Fee_รถยนต์_Bill!$A:$A,0)),0))</f>
        <v/>
      </c>
      <c r="AH94" s="15" t="str">
        <f t="shared" si="22"/>
        <v/>
      </c>
      <c r="AI94" s="5"/>
      <c r="AJ94" s="15" t="str">
        <f>IF($K94="","",IF(U94="รถยนต์",IF(AI94="ใช่",INDEX(Fee_รถยนต์_NoBill!$B:$B,MATCH("ค่าอากร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(ปกติ)",Fee_รถยนต์_NoBill!$A:$A,0))),IF(AI94="ใช่",INDEX(Fee_จยย_NoBill!$B:$B,MATCH("ค่าอากร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4" s="15" t="str">
        <f>IF($K94="","",IF(U94="รถยนต์",IFERROR(INDEX(Fee_รถยนต์_NoBill!$B:$B,MATCH("ลงขัน - "&amp;K94,Fee_รถยนต์_NoBill!$A:$A,0)),0),IFERROR(INDEX(Fee_จยย_NoBill!$B:$B,MATCH("ลงขัน - รย.12 ทุกประเภท (CC)",Fee_จยย_NoBill!$A:$A,0)),0)))</f>
        <v/>
      </c>
      <c r="AL94" s="5"/>
      <c r="AM94" s="15" t="str">
        <f>IF($K94="","",IF(AL94="ใช่",IF(U94="รถยนต์",INDEX(Fee_รถยนต์_NoBill!$B:$B,MATCH("งานด่วนเพิ่ม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4" s="15" t="str">
        <f t="shared" si="23"/>
        <v/>
      </c>
      <c r="AO94" s="16" t="str">
        <f t="shared" si="24"/>
        <v/>
      </c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7" t="str">
        <f t="shared" si="25"/>
        <v/>
      </c>
      <c r="BB94" s="7" t="str">
        <f t="shared" si="26"/>
        <v/>
      </c>
    </row>
    <row r="95" spans="1:54" x14ac:dyDescent="0.3">
      <c r="A95" s="15" t="str">
        <f t="shared" si="18"/>
        <v/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15" t="str">
        <f t="shared" si="19"/>
        <v/>
      </c>
      <c r="O95" s="5"/>
      <c r="P95" s="15" t="str">
        <f>IF($K95="","",IF(O95="ตัดบัญชี",IFERROR(INDEX(Fee_ตัดบัญชี!$D:$D,MATCH(BB95,Fee_ตัดบัญชี!$C:$C,0)),0),0))</f>
        <v/>
      </c>
      <c r="Q95" s="15" t="str">
        <f>IF($K95="","",IF(O95="แจ้งย้าย",IFERROR(INDEX(Fee_แจ้งย้าย!$D:$D,MATCH(BB95,Fee_แจ้งย้าย!$C:$C,0)),0),0))</f>
        <v/>
      </c>
      <c r="R95" s="15" t="str">
        <f t="shared" si="20"/>
        <v/>
      </c>
      <c r="S95" s="5"/>
      <c r="T95" s="15" t="str">
        <f>IF($K95="","",IF(O95&lt;&gt;"ตัดบัญชี",0,IF(S95="กทม.",IFERROR(INDEX(Fee_ตรวจรถ_กทม!$D:$D,MATCH(BB95,Fee_ตรวจรถ_กทม!$C:$C,0)),0),IF(S95="ต่างจังหวัด",IFERROR(INDEX(Fee_ตรวจรถ_ตจว!$D:$D,MATCH(L95&amp;"|"&amp;K95,Fee_ตรวจรถ_ตจว!$C:$C,0)),0),0))))</f>
        <v/>
      </c>
      <c r="U95" s="15" t="str">
        <f t="shared" si="21"/>
        <v/>
      </c>
      <c r="V95" s="15" t="str">
        <f>IF($K95="","",IF(U95="รถยนต์",IF(N95="ใช่",INDEX(Fee_รถยนต์_Bill!$B:$B,MATCH("ค่าคำขอ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(ปกติ)",Fee_รถยนต์_Bill!$A:$A,0))),IF(N95="ใช่",INDEX(Fee_จยย_Bill!$B:$B,MATCH("ค่าคำขอ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5" s="15" t="str">
        <f>IF($K95="","",IF(N95="ใช่",IF(U95="รถยนต์",INDEX(Fee_รถยนต์_Bill!$B:$B,MATCH("ค่าธรรมเนียมอื่นๆ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5" s="15" t="str">
        <f>IF($K95="","",IF(U95="รถยนต์",INDEX(Fee_รถยนต์_Bill!$B:$B,MATCH("ค่าตรวจสภาพรถ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5" s="15" t="str">
        <f>IF($K95="","",IF(U95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5" s="15" t="str">
        <f>IF($K95="","",IF(U95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5" s="5"/>
      <c r="AB95" s="5"/>
      <c r="AC95" s="15" t="str">
        <f>IF($K95="","",IF(AB95="เลขประมูล",INDEX(Fee_รถยนต์_Bill!$B:$B,MATCH("ค่าขอใช้เลขทะเบียน - เลขประมูล",Fee_รถยนต์_Bill!$A:$A,0)),IF(AB95="ไม่ใช่เลขประมูล",INDEX(Fee_รถยนต์_Bill!$B:$B,MATCH("ค่าขอใช้เลขทะเบียน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5" s="5"/>
      <c r="AE95" s="15" t="str">
        <f>IF($K95="","",IF(AD95="ป้ายขาวดำ",INDEX(Fee_รถยนต์_Bill!$B:$B,MATCH("ค่าทำแผ่นป้ายทะเบียนใหม่ - ป้ายขาวดำ",Fee_รถยนต์_Bill!$A:$A,0)),IF(AD95="ป้ายประมูล",INDEX(Fee_รถยนต์_Bill!$B:$B,MATCH("ค่าทำแผ่นป้ายทะเบียนใหม่ - ป้ายประมูล",Fee_รถยนต์_Bill!$A:$A,0)),0)))</f>
        <v/>
      </c>
      <c r="AF95" s="5"/>
      <c r="AG95" s="15" t="str">
        <f>IF($K95="","",IF(AF95="ใช่",INDEX(Fee_รถยนต์_Bill!$B:$B,MATCH("ค่าย้ายออกต่างจังหวัด",Fee_รถยนต์_Bill!$A:$A,0)),0))</f>
        <v/>
      </c>
      <c r="AH95" s="15" t="str">
        <f t="shared" si="22"/>
        <v/>
      </c>
      <c r="AI95" s="5"/>
      <c r="AJ95" s="15" t="str">
        <f>IF($K95="","",IF(U95="รถยนต์",IF(AI95="ใช่",INDEX(Fee_รถยนต์_NoBill!$B:$B,MATCH("ค่าอากร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(ปกติ)",Fee_รถยนต์_NoBill!$A:$A,0))),IF(AI95="ใช่",INDEX(Fee_จยย_NoBill!$B:$B,MATCH("ค่าอากร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5" s="15" t="str">
        <f>IF($K95="","",IF(U95="รถยนต์",IFERROR(INDEX(Fee_รถยนต์_NoBill!$B:$B,MATCH("ลงขัน - "&amp;K95,Fee_รถยนต์_NoBill!$A:$A,0)),0),IFERROR(INDEX(Fee_จยย_NoBill!$B:$B,MATCH("ลงขัน - รย.12 ทุกประเภท (CC)",Fee_จยย_NoBill!$A:$A,0)),0)))</f>
        <v/>
      </c>
      <c r="AL95" s="5"/>
      <c r="AM95" s="15" t="str">
        <f>IF($K95="","",IF(AL95="ใช่",IF(U95="รถยนต์",INDEX(Fee_รถยนต์_NoBill!$B:$B,MATCH("งานด่วนเพิ่ม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5" s="15" t="str">
        <f t="shared" si="23"/>
        <v/>
      </c>
      <c r="AO95" s="16" t="str">
        <f t="shared" si="24"/>
        <v/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7" t="str">
        <f t="shared" si="25"/>
        <v/>
      </c>
      <c r="BB95" s="7" t="str">
        <f t="shared" si="26"/>
        <v/>
      </c>
    </row>
    <row r="96" spans="1:54" x14ac:dyDescent="0.3">
      <c r="A96" s="15" t="str">
        <f t="shared" si="18"/>
        <v/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15" t="str">
        <f t="shared" si="19"/>
        <v/>
      </c>
      <c r="O96" s="5"/>
      <c r="P96" s="15" t="str">
        <f>IF($K96="","",IF(O96="ตัดบัญชี",IFERROR(INDEX(Fee_ตัดบัญชี!$D:$D,MATCH(BB96,Fee_ตัดบัญชี!$C:$C,0)),0),0))</f>
        <v/>
      </c>
      <c r="Q96" s="15" t="str">
        <f>IF($K96="","",IF(O96="แจ้งย้าย",IFERROR(INDEX(Fee_แจ้งย้าย!$D:$D,MATCH(BB96,Fee_แจ้งย้าย!$C:$C,0)),0),0))</f>
        <v/>
      </c>
      <c r="R96" s="15" t="str">
        <f t="shared" si="20"/>
        <v/>
      </c>
      <c r="S96" s="5"/>
      <c r="T96" s="15" t="str">
        <f>IF($K96="","",IF(O96&lt;&gt;"ตัดบัญชี",0,IF(S96="กทม.",IFERROR(INDEX(Fee_ตรวจรถ_กทม!$D:$D,MATCH(BB96,Fee_ตรวจรถ_กทม!$C:$C,0)),0),IF(S96="ต่างจังหวัด",IFERROR(INDEX(Fee_ตรวจรถ_ตจว!$D:$D,MATCH(L96&amp;"|"&amp;K96,Fee_ตรวจรถ_ตจว!$C:$C,0)),0),0))))</f>
        <v/>
      </c>
      <c r="U96" s="15" t="str">
        <f t="shared" si="21"/>
        <v/>
      </c>
      <c r="V96" s="15" t="str">
        <f>IF($K96="","",IF(U96="รถยนต์",IF(N96="ใช่",INDEX(Fee_รถยนต์_Bill!$B:$B,MATCH("ค่าคำขอ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(ปกติ)",Fee_รถยนต์_Bill!$A:$A,0))),IF(N96="ใช่",INDEX(Fee_จยย_Bill!$B:$B,MATCH("ค่าคำขอ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6" s="15" t="str">
        <f>IF($K96="","",IF(N96="ใช่",IF(U96="รถยนต์",INDEX(Fee_รถยนต์_Bill!$B:$B,MATCH("ค่าธรรมเนียมอื่นๆ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6" s="15" t="str">
        <f>IF($K96="","",IF(U96="รถยนต์",INDEX(Fee_รถยนต์_Bill!$B:$B,MATCH("ค่าตรวจสภาพรถ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6" s="15" t="str">
        <f>IF($K96="","",IF(U96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6" s="15" t="str">
        <f>IF($K96="","",IF(U96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6" s="5"/>
      <c r="AB96" s="5"/>
      <c r="AC96" s="15" t="str">
        <f>IF($K96="","",IF(AB96="เลขประมูล",INDEX(Fee_รถยนต์_Bill!$B:$B,MATCH("ค่าขอใช้เลขทะเบียน - เลขประมูล",Fee_รถยนต์_Bill!$A:$A,0)),IF(AB96="ไม่ใช่เลขประมูล",INDEX(Fee_รถยนต์_Bill!$B:$B,MATCH("ค่าขอใช้เลขทะเบียน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6" s="5"/>
      <c r="AE96" s="15" t="str">
        <f>IF($K96="","",IF(AD96="ป้ายขาวดำ",INDEX(Fee_รถยนต์_Bill!$B:$B,MATCH("ค่าทำแผ่นป้ายทะเบียนใหม่ - ป้ายขาวดำ",Fee_รถยนต์_Bill!$A:$A,0)),IF(AD96="ป้ายประมูล",INDEX(Fee_รถยนต์_Bill!$B:$B,MATCH("ค่าทำแผ่นป้ายทะเบียนใหม่ - ป้ายประมูล",Fee_รถยนต์_Bill!$A:$A,0)),0)))</f>
        <v/>
      </c>
      <c r="AF96" s="5"/>
      <c r="AG96" s="15" t="str">
        <f>IF($K96="","",IF(AF96="ใช่",INDEX(Fee_รถยนต์_Bill!$B:$B,MATCH("ค่าย้ายออกต่างจังหวัด",Fee_รถยนต์_Bill!$A:$A,0)),0))</f>
        <v/>
      </c>
      <c r="AH96" s="15" t="str">
        <f t="shared" si="22"/>
        <v/>
      </c>
      <c r="AI96" s="5"/>
      <c r="AJ96" s="15" t="str">
        <f>IF($K96="","",IF(U96="รถยนต์",IF(AI96="ใช่",INDEX(Fee_รถยนต์_NoBill!$B:$B,MATCH("ค่าอากร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(ปกติ)",Fee_รถยนต์_NoBill!$A:$A,0))),IF(AI96="ใช่",INDEX(Fee_จยย_NoBill!$B:$B,MATCH("ค่าอากร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6" s="15" t="str">
        <f>IF($K96="","",IF(U96="รถยนต์",IFERROR(INDEX(Fee_รถยนต์_NoBill!$B:$B,MATCH("ลงขัน - "&amp;K96,Fee_รถยนต์_NoBill!$A:$A,0)),0),IFERROR(INDEX(Fee_จยย_NoBill!$B:$B,MATCH("ลงขัน - รย.12 ทุกประเภท (CC)",Fee_จยย_NoBill!$A:$A,0)),0)))</f>
        <v/>
      </c>
      <c r="AL96" s="5"/>
      <c r="AM96" s="15" t="str">
        <f>IF($K96="","",IF(AL96="ใช่",IF(U96="รถยนต์",INDEX(Fee_รถยนต์_NoBill!$B:$B,MATCH("งานด่วนเพิ่ม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6" s="15" t="str">
        <f t="shared" si="23"/>
        <v/>
      </c>
      <c r="AO96" s="16" t="str">
        <f t="shared" si="24"/>
        <v/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7" t="str">
        <f t="shared" si="25"/>
        <v/>
      </c>
      <c r="BB96" s="7" t="str">
        <f t="shared" si="26"/>
        <v/>
      </c>
    </row>
    <row r="97" spans="1:54" x14ac:dyDescent="0.3">
      <c r="A97" s="15" t="str">
        <f t="shared" si="18"/>
        <v/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15" t="str">
        <f t="shared" si="19"/>
        <v/>
      </c>
      <c r="O97" s="5"/>
      <c r="P97" s="15" t="str">
        <f>IF($K97="","",IF(O97="ตัดบัญชี",IFERROR(INDEX(Fee_ตัดบัญชี!$D:$D,MATCH(BB97,Fee_ตัดบัญชี!$C:$C,0)),0),0))</f>
        <v/>
      </c>
      <c r="Q97" s="15" t="str">
        <f>IF($K97="","",IF(O97="แจ้งย้าย",IFERROR(INDEX(Fee_แจ้งย้าย!$D:$D,MATCH(BB97,Fee_แจ้งย้าย!$C:$C,0)),0),0))</f>
        <v/>
      </c>
      <c r="R97" s="15" t="str">
        <f t="shared" si="20"/>
        <v/>
      </c>
      <c r="S97" s="5"/>
      <c r="T97" s="15" t="str">
        <f>IF($K97="","",IF(O97&lt;&gt;"ตัดบัญชี",0,IF(S97="กทม.",IFERROR(INDEX(Fee_ตรวจรถ_กทม!$D:$D,MATCH(BB97,Fee_ตรวจรถ_กทม!$C:$C,0)),0),IF(S97="ต่างจังหวัด",IFERROR(INDEX(Fee_ตรวจรถ_ตจว!$D:$D,MATCH(L97&amp;"|"&amp;K97,Fee_ตรวจรถ_ตจว!$C:$C,0)),0),0))))</f>
        <v/>
      </c>
      <c r="U97" s="15" t="str">
        <f t="shared" si="21"/>
        <v/>
      </c>
      <c r="V97" s="15" t="str">
        <f>IF($K97="","",IF(U97="รถยนต์",IF(N97="ใช่",INDEX(Fee_รถยนต์_Bill!$B:$B,MATCH("ค่าคำขอ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(ปกติ)",Fee_รถยนต์_Bill!$A:$A,0))),IF(N97="ใช่",INDEX(Fee_จยย_Bill!$B:$B,MATCH("ค่าคำขอ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7" s="15" t="str">
        <f>IF($K97="","",IF(N97="ใช่",IF(U97="รถยนต์",INDEX(Fee_รถยนต์_Bill!$B:$B,MATCH("ค่าธรรมเนียมอื่นๆ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7" s="15" t="str">
        <f>IF($K97="","",IF(U97="รถยนต์",INDEX(Fee_รถยนต์_Bill!$B:$B,MATCH("ค่าตรวจสภาพรถ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7" s="15" t="str">
        <f>IF($K97="","",IF(U97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7" s="15" t="str">
        <f>IF($K97="","",IF(U97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7" s="5"/>
      <c r="AB97" s="5"/>
      <c r="AC97" s="15" t="str">
        <f>IF($K97="","",IF(AB97="เลขประมูล",INDEX(Fee_รถยนต์_Bill!$B:$B,MATCH("ค่าขอใช้เลขทะเบียน - เลขประมูล",Fee_รถยนต์_Bill!$A:$A,0)),IF(AB97="ไม่ใช่เลขประมูล",INDEX(Fee_รถยนต์_Bill!$B:$B,MATCH("ค่าขอใช้เลขทะเบียน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7" s="5"/>
      <c r="AE97" s="15" t="str">
        <f>IF($K97="","",IF(AD97="ป้ายขาวดำ",INDEX(Fee_รถยนต์_Bill!$B:$B,MATCH("ค่าทำแผ่นป้ายทะเบียนใหม่ - ป้ายขาวดำ",Fee_รถยนต์_Bill!$A:$A,0)),IF(AD97="ป้ายประมูล",INDEX(Fee_รถยนต์_Bill!$B:$B,MATCH("ค่าทำแผ่นป้ายทะเบียนใหม่ - ป้ายประมูล",Fee_รถยนต์_Bill!$A:$A,0)),0)))</f>
        <v/>
      </c>
      <c r="AF97" s="5"/>
      <c r="AG97" s="15" t="str">
        <f>IF($K97="","",IF(AF97="ใช่",INDEX(Fee_รถยนต์_Bill!$B:$B,MATCH("ค่าย้ายออกต่างจังหวัด",Fee_รถยนต์_Bill!$A:$A,0)),0))</f>
        <v/>
      </c>
      <c r="AH97" s="15" t="str">
        <f t="shared" si="22"/>
        <v/>
      </c>
      <c r="AI97" s="5"/>
      <c r="AJ97" s="15" t="str">
        <f>IF($K97="","",IF(U97="รถยนต์",IF(AI97="ใช่",INDEX(Fee_รถยนต์_NoBill!$B:$B,MATCH("ค่าอากร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(ปกติ)",Fee_รถยนต์_NoBill!$A:$A,0))),IF(AI97="ใช่",INDEX(Fee_จยย_NoBill!$B:$B,MATCH("ค่าอากร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7" s="15" t="str">
        <f>IF($K97="","",IF(U97="รถยนต์",IFERROR(INDEX(Fee_รถยนต์_NoBill!$B:$B,MATCH("ลงขัน - "&amp;K97,Fee_รถยนต์_NoBill!$A:$A,0)),0),IFERROR(INDEX(Fee_จยย_NoBill!$B:$B,MATCH("ลงขัน - รย.12 ทุกประเภท (CC)",Fee_จยย_NoBill!$A:$A,0)),0)))</f>
        <v/>
      </c>
      <c r="AL97" s="5"/>
      <c r="AM97" s="15" t="str">
        <f>IF($K97="","",IF(AL97="ใช่",IF(U97="รถยนต์",INDEX(Fee_รถยนต์_NoBill!$B:$B,MATCH("งานด่วนเพิ่ม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7" s="15" t="str">
        <f t="shared" si="23"/>
        <v/>
      </c>
      <c r="AO97" s="16" t="str">
        <f t="shared" si="24"/>
        <v/>
      </c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7" t="str">
        <f t="shared" si="25"/>
        <v/>
      </c>
      <c r="BB97" s="7" t="str">
        <f t="shared" si="26"/>
        <v/>
      </c>
    </row>
    <row r="98" spans="1:54" x14ac:dyDescent="0.3">
      <c r="A98" s="15" t="str">
        <f t="shared" si="18"/>
        <v/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15" t="str">
        <f t="shared" ref="N98:N129" si="27">IF(OR(L98="",M98=""),"",IF(L98&lt;&gt;M98,"ใช่","ไม่ใช่"))</f>
        <v/>
      </c>
      <c r="O98" s="5"/>
      <c r="P98" s="15" t="str">
        <f>IF($K98="","",IF(O98="ตัดบัญชี",IFERROR(INDEX(Fee_ตัดบัญชี!$D:$D,MATCH(BB98,Fee_ตัดบัญชี!$C:$C,0)),0),0))</f>
        <v/>
      </c>
      <c r="Q98" s="15" t="str">
        <f>IF($K98="","",IF(O98="แจ้งย้าย",IFERROR(INDEX(Fee_แจ้งย้าย!$D:$D,MATCH(BB98,Fee_แจ้งย้าย!$C:$C,0)),0),0))</f>
        <v/>
      </c>
      <c r="R98" s="15" t="str">
        <f t="shared" si="20"/>
        <v/>
      </c>
      <c r="S98" s="5"/>
      <c r="T98" s="15" t="str">
        <f>IF($K98="","",IF(O98&lt;&gt;"ตัดบัญชี",0,IF(S98="กทม.",IFERROR(INDEX(Fee_ตรวจรถ_กทม!$D:$D,MATCH(BB98,Fee_ตรวจรถ_กทม!$C:$C,0)),0),IF(S98="ต่างจังหวัด",IFERROR(INDEX(Fee_ตรวจรถ_ตจว!$D:$D,MATCH(L98&amp;"|"&amp;K98,Fee_ตรวจรถ_ตจว!$C:$C,0)),0),0))))</f>
        <v/>
      </c>
      <c r="U98" s="15" t="str">
        <f t="shared" si="21"/>
        <v/>
      </c>
      <c r="V98" s="15" t="str">
        <f>IF($K98="","",IF(U98="รถยนต์",IF(N98="ใช่",INDEX(Fee_รถยนต์_Bill!$B:$B,MATCH("ค่าคำขอ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(ปกติ)",Fee_รถยนต์_Bill!$A:$A,0))),IF(N98="ใช่",INDEX(Fee_จยย_Bill!$B:$B,MATCH("ค่าคำขอ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8" s="15" t="str">
        <f>IF($K98="","",IF(N98="ใช่",IF(U98="รถยนต์",INDEX(Fee_รถยนต์_Bill!$B:$B,MATCH("ค่าธรรมเนียมอื่นๆ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8" s="15" t="str">
        <f>IF($K98="","",IF(U98="รถยนต์",INDEX(Fee_รถยนต์_Bill!$B:$B,MATCH("ค่าตรวจสภาพรถ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8" s="15" t="str">
        <f>IF($K98="","",IF(U98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8" s="15" t="str">
        <f>IF($K98="","",IF(U98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8" s="5"/>
      <c r="AB98" s="5"/>
      <c r="AC98" s="15" t="str">
        <f>IF($K98="","",IF(AB98="เลขประมูล",INDEX(Fee_รถยนต์_Bill!$B:$B,MATCH("ค่าขอใช้เลขทะเบียน - เลขประมูล",Fee_รถยนต์_Bill!$A:$A,0)),IF(AB98="ไม่ใช่เลขประมูล",INDEX(Fee_รถยนต์_Bill!$B:$B,MATCH("ค่าขอใช้เลขทะเบียน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8" s="5"/>
      <c r="AE98" s="15" t="str">
        <f>IF($K98="","",IF(AD98="ป้ายขาวดำ",INDEX(Fee_รถยนต์_Bill!$B:$B,MATCH("ค่าทำแผ่นป้ายทะเบียนใหม่ - ป้ายขาวดำ",Fee_รถยนต์_Bill!$A:$A,0)),IF(AD98="ป้ายประมูล",INDEX(Fee_รถยนต์_Bill!$B:$B,MATCH("ค่าทำแผ่นป้ายทะเบียนใหม่ - ป้ายประมูล",Fee_รถยนต์_Bill!$A:$A,0)),0)))</f>
        <v/>
      </c>
      <c r="AF98" s="5"/>
      <c r="AG98" s="15" t="str">
        <f>IF($K98="","",IF(AF98="ใช่",INDEX(Fee_รถยนต์_Bill!$B:$B,MATCH("ค่าย้ายออกต่างจังหวัด",Fee_รถยนต์_Bill!$A:$A,0)),0))</f>
        <v/>
      </c>
      <c r="AH98" s="15" t="str">
        <f t="shared" ref="AH98:AH129" si="28">IF($K98="","",SUM(V98:AG98))</f>
        <v/>
      </c>
      <c r="AI98" s="5"/>
      <c r="AJ98" s="15" t="str">
        <f>IF($K98="","",IF(U98="รถยนต์",IF(AI98="ใช่",INDEX(Fee_รถยนต์_NoBill!$B:$B,MATCH("ค่าอากร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(ปกติ)",Fee_รถยนต์_NoBill!$A:$A,0))),IF(AI98="ใช่",INDEX(Fee_จยย_NoBill!$B:$B,MATCH("ค่าอากร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8" s="15" t="str">
        <f>IF($K98="","",IF(U98="รถยนต์",IFERROR(INDEX(Fee_รถยนต์_NoBill!$B:$B,MATCH("ลงขัน - "&amp;K98,Fee_รถยนต์_NoBill!$A:$A,0)),0),IFERROR(INDEX(Fee_จยย_NoBill!$B:$B,MATCH("ลงขัน - รย.12 ทุกประเภท (CC)",Fee_จยย_NoBill!$A:$A,0)),0)))</f>
        <v/>
      </c>
      <c r="AL98" s="5"/>
      <c r="AM98" s="15" t="str">
        <f>IF($K98="","",IF(AL98="ใช่",IF(U98="รถยนต์",INDEX(Fee_รถยนต์_NoBill!$B:$B,MATCH("งานด่วนเพิ่ม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8" s="15" t="str">
        <f t="shared" ref="AN98:AN129" si="29">IF($K98="","",SUM(AJ98:AM98))</f>
        <v/>
      </c>
      <c r="AO98" s="16" t="str">
        <f t="shared" ref="AO98:AO129" si="30">IF($K98="","",P98+Q98+R98+T98+AH98+AN98)</f>
        <v/>
      </c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7" t="str">
        <f t="shared" si="25"/>
        <v/>
      </c>
      <c r="BB98" s="7" t="str">
        <f t="shared" ref="BB98:BB129" si="31">IF($K98="","",K98&amp;"|"&amp;BA98)</f>
        <v/>
      </c>
    </row>
    <row r="99" spans="1:54" x14ac:dyDescent="0.3">
      <c r="A99" s="15" t="str">
        <f t="shared" si="18"/>
        <v/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15" t="str">
        <f t="shared" si="27"/>
        <v/>
      </c>
      <c r="O99" s="5"/>
      <c r="P99" s="15" t="str">
        <f>IF($K99="","",IF(O99="ตัดบัญชี",IFERROR(INDEX(Fee_ตัดบัญชี!$D:$D,MATCH(BB99,Fee_ตัดบัญชี!$C:$C,0)),0),0))</f>
        <v/>
      </c>
      <c r="Q99" s="15" t="str">
        <f>IF($K99="","",IF(O99="แจ้งย้าย",IFERROR(INDEX(Fee_แจ้งย้าย!$D:$D,MATCH(BB99,Fee_แจ้งย้าย!$C:$C,0)),0),0))</f>
        <v/>
      </c>
      <c r="R99" s="15" t="str">
        <f t="shared" si="20"/>
        <v/>
      </c>
      <c r="S99" s="5"/>
      <c r="T99" s="15" t="str">
        <f>IF($K99="","",IF(O99&lt;&gt;"ตัดบัญชี",0,IF(S99="กทม.",IFERROR(INDEX(Fee_ตรวจรถ_กทม!$D:$D,MATCH(BB99,Fee_ตรวจรถ_กทม!$C:$C,0)),0),IF(S99="ต่างจังหวัด",IFERROR(INDEX(Fee_ตรวจรถ_ตจว!$D:$D,MATCH(L99&amp;"|"&amp;K99,Fee_ตรวจรถ_ตจว!$C:$C,0)),0),0))))</f>
        <v/>
      </c>
      <c r="U99" s="15" t="str">
        <f t="shared" si="21"/>
        <v/>
      </c>
      <c r="V99" s="15" t="str">
        <f>IF($K99="","",IF(U99="รถยนต์",IF(N99="ใช่",INDEX(Fee_รถยนต์_Bill!$B:$B,MATCH("ค่าคำขอ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(ปกติ)",Fee_รถยนต์_Bill!$A:$A,0))),IF(N99="ใช่",INDEX(Fee_จยย_Bill!$B:$B,MATCH("ค่าคำขอ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99" s="15" t="str">
        <f>IF($K99="","",IF(N99="ใช่",IF(U99="รถยนต์",INDEX(Fee_รถยนต์_Bill!$B:$B,MATCH("ค่าธรรมเนียมอื่นๆ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99" s="15" t="str">
        <f>IF($K99="","",IF(U99="รถยนต์",INDEX(Fee_รถยนต์_Bill!$B:$B,MATCH("ค่าตรวจสภาพรถ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99" s="15" t="str">
        <f>IF($K99="","",IF(U99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99" s="15" t="str">
        <f>IF($K99="","",IF(U99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99" s="5"/>
      <c r="AB99" s="5"/>
      <c r="AC99" s="15" t="str">
        <f>IF($K99="","",IF(AB99="เลขประมูล",INDEX(Fee_รถยนต์_Bill!$B:$B,MATCH("ค่าขอใช้เลขทะเบียน - เลขประมูล",Fee_รถยนต์_Bill!$A:$A,0)),IF(AB99="ไม่ใช่เลขประมูล",INDEX(Fee_รถยนต์_Bill!$B:$B,MATCH("ค่าขอใช้เลขทะเบียน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99" s="5"/>
      <c r="AE99" s="15" t="str">
        <f>IF($K99="","",IF(AD99="ป้ายขาวดำ",INDEX(Fee_รถยนต์_Bill!$B:$B,MATCH("ค่าทำแผ่นป้ายทะเบียนใหม่ - ป้ายขาวดำ",Fee_รถยนต์_Bill!$A:$A,0)),IF(AD99="ป้ายประมูล",INDEX(Fee_รถยนต์_Bill!$B:$B,MATCH("ค่าทำแผ่นป้ายทะเบียนใหม่ - ป้ายประมูล",Fee_รถยนต์_Bill!$A:$A,0)),0)))</f>
        <v/>
      </c>
      <c r="AF99" s="5"/>
      <c r="AG99" s="15" t="str">
        <f>IF($K99="","",IF(AF99="ใช่",INDEX(Fee_รถยนต์_Bill!$B:$B,MATCH("ค่าย้ายออกต่างจังหวัด",Fee_รถยนต์_Bill!$A:$A,0)),0))</f>
        <v/>
      </c>
      <c r="AH99" s="15" t="str">
        <f t="shared" si="28"/>
        <v/>
      </c>
      <c r="AI99" s="5"/>
      <c r="AJ99" s="15" t="str">
        <f>IF($K99="","",IF(U99="รถยนต์",IF(AI99="ใช่",INDEX(Fee_รถยนต์_NoBill!$B:$B,MATCH("ค่าอากร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(ปกติ)",Fee_รถยนต์_NoBill!$A:$A,0))),IF(AI99="ใช่",INDEX(Fee_จยย_NoBill!$B:$B,MATCH("ค่าอากร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99" s="15" t="str">
        <f>IF($K99="","",IF(U99="รถยนต์",IFERROR(INDEX(Fee_รถยนต์_NoBill!$B:$B,MATCH("ลงขัน - "&amp;K99,Fee_รถยนต์_NoBill!$A:$A,0)),0),IFERROR(INDEX(Fee_จยย_NoBill!$B:$B,MATCH("ลงขัน - รย.12 ทุกประเภท (CC)",Fee_จยย_NoBill!$A:$A,0)),0)))</f>
        <v/>
      </c>
      <c r="AL99" s="5"/>
      <c r="AM99" s="15" t="str">
        <f>IF($K99="","",IF(AL99="ใช่",IF(U99="รถยนต์",INDEX(Fee_รถยนต์_NoBill!$B:$B,MATCH("งานด่วนเพิ่ม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99" s="15" t="str">
        <f t="shared" si="29"/>
        <v/>
      </c>
      <c r="AO99" s="16" t="str">
        <f t="shared" si="30"/>
        <v/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7" t="str">
        <f t="shared" si="25"/>
        <v/>
      </c>
      <c r="BB99" s="7" t="str">
        <f t="shared" si="31"/>
        <v/>
      </c>
    </row>
    <row r="100" spans="1:54" x14ac:dyDescent="0.3">
      <c r="A100" s="15" t="str">
        <f t="shared" si="18"/>
        <v/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15" t="str">
        <f t="shared" si="27"/>
        <v/>
      </c>
      <c r="O100" s="5"/>
      <c r="P100" s="15" t="str">
        <f>IF($K100="","",IF(O100="ตัดบัญชี",IFERROR(INDEX(Fee_ตัดบัญชี!$D:$D,MATCH(BB100,Fee_ตัดบัญชี!$C:$C,0)),0),0))</f>
        <v/>
      </c>
      <c r="Q100" s="15" t="str">
        <f>IF($K100="","",IF(O100="แจ้งย้าย",IFERROR(INDEX(Fee_แจ้งย้าย!$D:$D,MATCH(BB100,Fee_แจ้งย้าย!$C:$C,0)),0),0))</f>
        <v/>
      </c>
      <c r="R100" s="15" t="str">
        <f t="shared" si="20"/>
        <v/>
      </c>
      <c r="S100" s="5"/>
      <c r="T100" s="15" t="str">
        <f>IF($K100="","",IF(O100&lt;&gt;"ตัดบัญชี",0,IF(S100="กทม.",IFERROR(INDEX(Fee_ตรวจรถ_กทม!$D:$D,MATCH(BB100,Fee_ตรวจรถ_กทม!$C:$C,0)),0),IF(S100="ต่างจังหวัด",IFERROR(INDEX(Fee_ตรวจรถ_ตจว!$D:$D,MATCH(L100&amp;"|"&amp;K100,Fee_ตรวจรถ_ตจว!$C:$C,0)),0),0))))</f>
        <v/>
      </c>
      <c r="U100" s="15" t="str">
        <f t="shared" si="21"/>
        <v/>
      </c>
      <c r="V100" s="15" t="str">
        <f>IF($K100="","",IF(U100="รถยนต์",IF(N100="ใช่",INDEX(Fee_รถยนต์_Bill!$B:$B,MATCH("ค่าคำขอ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(ปกติ)",Fee_รถยนต์_Bill!$A:$A,0))),IF(N100="ใช่",INDEX(Fee_จยย_Bill!$B:$B,MATCH("ค่าคำขอ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00" s="15" t="str">
        <f>IF($K100="","",IF(N100="ใช่",IF(U100="รถยนต์",INDEX(Fee_รถยนต์_Bill!$B:$B,MATCH("ค่าธรรมเนียมอื่นๆ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00" s="15" t="str">
        <f>IF($K100="","",IF(U100="รถยนต์",INDEX(Fee_รถยนต์_Bill!$B:$B,MATCH("ค่าตรวจสภาพรถ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00" s="15" t="str">
        <f>IF($K100="","",IF(U100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00" s="15" t="str">
        <f>IF($K100="","",IF(U100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00" s="5"/>
      <c r="AB100" s="5"/>
      <c r="AC100" s="15" t="str">
        <f>IF($K100="","",IF(AB100="เลขประมูล",INDEX(Fee_รถยนต์_Bill!$B:$B,MATCH("ค่าขอใช้เลขทะเบียน - เลขประมูล",Fee_รถยนต์_Bill!$A:$A,0)),IF(AB100="ไม่ใช่เลขประมูล",INDEX(Fee_รถยนต์_Bill!$B:$B,MATCH("ค่าขอใช้เลขทะเบียน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00" s="5"/>
      <c r="AE100" s="15" t="str">
        <f>IF($K100="","",IF(AD100="ป้ายขาวดำ",INDEX(Fee_รถยนต์_Bill!$B:$B,MATCH("ค่าทำแผ่นป้ายทะเบียนใหม่ - ป้ายขาวดำ",Fee_รถยนต์_Bill!$A:$A,0)),IF(AD100="ป้ายประมูล",INDEX(Fee_รถยนต์_Bill!$B:$B,MATCH("ค่าทำแผ่นป้ายทะเบียนใหม่ - ป้ายประมูล",Fee_รถยนต์_Bill!$A:$A,0)),0)))</f>
        <v/>
      </c>
      <c r="AF100" s="5"/>
      <c r="AG100" s="15" t="str">
        <f>IF($K100="","",IF(AF100="ใช่",INDEX(Fee_รถยนต์_Bill!$B:$B,MATCH("ค่าย้ายออกต่างจังหวัด",Fee_รถยนต์_Bill!$A:$A,0)),0))</f>
        <v/>
      </c>
      <c r="AH100" s="15" t="str">
        <f t="shared" si="28"/>
        <v/>
      </c>
      <c r="AI100" s="5"/>
      <c r="AJ100" s="15" t="str">
        <f>IF($K100="","",IF(U100="รถยนต์",IF(AI100="ใช่",INDEX(Fee_รถยนต์_NoBill!$B:$B,MATCH("ค่าอากร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(ปกติ)",Fee_รถยนต์_NoBill!$A:$A,0))),IF(AI100="ใช่",INDEX(Fee_จยย_NoBill!$B:$B,MATCH("ค่าอากร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00" s="15" t="str">
        <f>IF($K100="","",IF(U100="รถยนต์",IFERROR(INDEX(Fee_รถยนต์_NoBill!$B:$B,MATCH("ลงขัน - "&amp;K100,Fee_รถยนต์_NoBill!$A:$A,0)),0),IFERROR(INDEX(Fee_จยย_NoBill!$B:$B,MATCH("ลงขัน - รย.12 ทุกประเภท (CC)",Fee_จยย_NoBill!$A:$A,0)),0)))</f>
        <v/>
      </c>
      <c r="AL100" s="5"/>
      <c r="AM100" s="15" t="str">
        <f>IF($K100="","",IF(AL100="ใช่",IF(U100="รถยนต์",INDEX(Fee_รถยนต์_NoBill!$B:$B,MATCH("งานด่วนเพิ่ม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00" s="15" t="str">
        <f t="shared" si="29"/>
        <v/>
      </c>
      <c r="AO100" s="16" t="str">
        <f t="shared" si="30"/>
        <v/>
      </c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7" t="str">
        <f t="shared" si="25"/>
        <v/>
      </c>
      <c r="BB100" s="7" t="str">
        <f t="shared" si="31"/>
        <v/>
      </c>
    </row>
    <row r="101" spans="1:54" x14ac:dyDescent="0.3">
      <c r="A101" s="15" t="str">
        <f t="shared" si="18"/>
        <v/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15" t="str">
        <f t="shared" si="27"/>
        <v/>
      </c>
      <c r="O101" s="5"/>
      <c r="P101" s="15" t="str">
        <f>IF($K101="","",IF(O101="ตัดบัญชี",IFERROR(INDEX(Fee_ตัดบัญชี!$D:$D,MATCH(BB101,Fee_ตัดบัญชี!$C:$C,0)),0),0))</f>
        <v/>
      </c>
      <c r="Q101" s="15" t="str">
        <f>IF($K101="","",IF(O101="แจ้งย้าย",IFERROR(INDEX(Fee_แจ้งย้าย!$D:$D,MATCH(BB101,Fee_แจ้งย้าย!$C:$C,0)),0),0))</f>
        <v/>
      </c>
      <c r="R101" s="15" t="str">
        <f t="shared" si="20"/>
        <v/>
      </c>
      <c r="S101" s="5"/>
      <c r="T101" s="15" t="str">
        <f>IF($K101="","",IF(O101&lt;&gt;"ตัดบัญชี",0,IF(S101="กทม.",IFERROR(INDEX(Fee_ตรวจรถ_กทม!$D:$D,MATCH(BB101,Fee_ตรวจรถ_กทม!$C:$C,0)),0),IF(S101="ต่างจังหวัด",IFERROR(INDEX(Fee_ตรวจรถ_ตจว!$D:$D,MATCH(L101&amp;"|"&amp;K101,Fee_ตรวจรถ_ตจว!$C:$C,0)),0),0))))</f>
        <v/>
      </c>
      <c r="U101" s="15" t="str">
        <f t="shared" si="21"/>
        <v/>
      </c>
      <c r="V101" s="15" t="str">
        <f>IF($K101="","",IF(U101="รถยนต์",IF(N101="ใช่",INDEX(Fee_รถยนต์_Bill!$B:$B,MATCH("ค่าคำขอ (ขอใช้จังหวัดอื่น)",Fee_รถยนต์_Bill!$A:$A,0)),INDEX(Fee_รถยนต์_Bill!$B:$B,MATCH("ค่าคำขอ (ปกติ)",Fee_รถยนต์_Bill!$A:$A,0))),IF(N101="ใช่",INDEX(Fee_จยย_Bill!$B:$B,MATCH("ค่าคำขอ (ขอใช้จังหวัดอื่น)",Fee_จยย_Bill!$A:$A,0)),INDEX(Fee_จยย_Bill!$B:$B,MATCH("ค่าคำขอ (ปกติ)",Fee_จยย_Bill!$A:$A,0)))))</f>
        <v/>
      </c>
      <c r="W101" s="15" t="str">
        <f>IF($K101="","",IF(N101="ใช่",IF(U101="รถยนต์",INDEX(Fee_รถยนต์_Bill!$B:$B,MATCH("ค่าธรรมเนียมอื่นๆ (ขอใช้จังหวัดอื่น)",Fee_รถยนต์_Bill!$A:$A,0)),INDEX(Fee_จยย_Bill!$B:$B,MATCH("ค่าธรรมเนียมอื่นๆ (ขอใช้จังหวัดอื่น)",Fee_จยย_Bill!$A:$A,0))),0))</f>
        <v/>
      </c>
      <c r="X101" s="15" t="str">
        <f>IF($K101="","",IF(U101="รถยนต์",INDEX(Fee_รถยนต์_Bill!$B:$B,MATCH("ค่าตรวจสภาพรถ (Step4)",Fee_รถยนต์_Bill!$A:$A,0)),INDEX(Fee_จยย_Bill!$B:$B,MATCH("ค่าตรวจสภาพรถ (จยย.)",Fee_จยย_Bill!$A:$A,0))))</f>
        <v/>
      </c>
      <c r="Y101" s="15" t="str">
        <f>IF($K101="","",IF(U101="รถยนต์",INDEX(Fee_รถยนต์_Bill!$B:$B,MATCH("ค่าแผ่นป้ายทะเบียนรถ",Fee_รถยนต์_Bill!$A:$A,0)),INDEX(Fee_จยย_Bill!$B:$B,MATCH("ค่าแผ่นป้ายทะเบียน",Fee_จยย_Bill!$A:$A,0))))</f>
        <v/>
      </c>
      <c r="Z101" s="15" t="str">
        <f>IF($K101="","",IF(U101="รถยนต์",INDEX(Fee_รถยนต์_Bill!$B:$B,MATCH("ค่าใบคู่มือการจดทะเบียน",Fee_รถยนต์_Bill!$A:$A,0)),INDEX(Fee_จยย_Bill!$B:$B,MATCH("ค่าใบคู่มือจดทะเบียน",Fee_จยย_Bill!$A:$A,0))))</f>
        <v/>
      </c>
      <c r="AA101" s="5"/>
      <c r="AB101" s="5"/>
      <c r="AC101" s="15" t="str">
        <f>IF($K101="","",IF(AB101="เลขประมูล",INDEX(Fee_รถยนต์_Bill!$B:$B,MATCH("ค่าขอใช้เลขทะเบียน - เลขประมูล",Fee_รถยนต์_Bill!$A:$A,0)),IF(AB101="ไม่ใช่เลขประมูล",INDEX(Fee_รถยนต์_Bill!$B:$B,MATCH("ค่าขอใช้เลขทะเบียน - ไม่ใช่เลขประมูล",Fee_รถยนต์_Bill!$A:$A,0)),0)))</f>
        <v/>
      </c>
      <c r="AD101" s="5"/>
      <c r="AE101" s="15" t="str">
        <f>IF($K101="","",IF(AD101="ป้ายขาวดำ",INDEX(Fee_รถยนต์_Bill!$B:$B,MATCH("ค่าทำแผ่นป้ายทะเบียนใหม่ - ป้ายขาวดำ",Fee_รถยนต์_Bill!$A:$A,0)),IF(AD101="ป้ายประมูล",INDEX(Fee_รถยนต์_Bill!$B:$B,MATCH("ค่าทำแผ่นป้ายทะเบียนใหม่ - ป้ายประมูล",Fee_รถยนต์_Bill!$A:$A,0)),0)))</f>
        <v/>
      </c>
      <c r="AF101" s="5"/>
      <c r="AG101" s="15" t="str">
        <f>IF($K101="","",IF(AF101="ใช่",INDEX(Fee_รถยนต์_Bill!$B:$B,MATCH("ค่าย้ายออกต่างจังหวัด",Fee_รถยนต์_Bill!$A:$A,0)),0))</f>
        <v/>
      </c>
      <c r="AH101" s="15" t="str">
        <f t="shared" si="28"/>
        <v/>
      </c>
      <c r="AI101" s="5"/>
      <c r="AJ101" s="15" t="str">
        <f>IF($K101="","",IF(U101="รถยนต์",IF(AI101="ใช่",INDEX(Fee_รถยนต์_NoBill!$B:$B,MATCH("ค่าอากร (ทำเพิ่มเติมเกิน 1 รายการ)",Fee_รถยนต์_NoBill!$A:$A,0)),INDEX(Fee_รถยนต์_NoBill!$B:$B,MATCH("ค่าอากร (ปกติ)",Fee_รถยนต์_NoBill!$A:$A,0))),IF(AI101="ใช่",INDEX(Fee_จยย_NoBill!$B:$B,MATCH("ค่าอากร (ทำเพิ่มเติมเกิน 1 รายการ)",Fee_จยย_NoBill!$A:$A,0)),INDEX(Fee_จยย_NoBill!$B:$B,MATCH("ค่าอากร (ปกติ)",Fee_จยย_NoBill!$A:$A,0)))))</f>
        <v/>
      </c>
      <c r="AK101" s="15" t="str">
        <f>IF($K101="","",IF(U101="รถยนต์",IFERROR(INDEX(Fee_รถยนต์_NoBill!$B:$B,MATCH("ลงขัน - "&amp;K101,Fee_รถยนต์_NoBill!$A:$A,0)),0),IFERROR(INDEX(Fee_จยย_NoBill!$B:$B,MATCH("ลงขัน - รย.12 ทุกประเภท (CC)",Fee_จยย_NoBill!$A:$A,0)),0)))</f>
        <v/>
      </c>
      <c r="AL101" s="5"/>
      <c r="AM101" s="15" t="str">
        <f>IF($K101="","",IF(AL101="ใช่",IF(U101="รถยนต์",INDEX(Fee_รถยนต์_NoBill!$B:$B,MATCH("งานด่วนเพิ่ม (ต่อคัน)",Fee_รถยนต์_NoBill!$A:$A,0)),INDEX(Fee_จยย_NoBill!$B:$B,MATCH("ลงขันด่วนเพิ่ม (ต่อคัน)",Fee_จยย_NoBill!$A:$A,0))),0))</f>
        <v/>
      </c>
      <c r="AN101" s="15" t="str">
        <f t="shared" si="29"/>
        <v/>
      </c>
      <c r="AO101" s="16" t="str">
        <f t="shared" si="30"/>
        <v/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7" t="str">
        <f t="shared" si="25"/>
        <v/>
      </c>
      <c r="BB101" s="7" t="str">
        <f t="shared" si="31"/>
        <v/>
      </c>
    </row>
  </sheetData>
  <dataValidations count="5">
    <dataValidation type="list" allowBlank="1" sqref="AB2:AB101" xr:uid="{00000000-0002-0000-0C00-000000000000}">
      <formula1>"ไม่มี,เลขประมูล,ไม่ใช่เลขประมูล"</formula1>
    </dataValidation>
    <dataValidation type="list" allowBlank="1" sqref="AD2:AD101" xr:uid="{00000000-0002-0000-0C00-000002000000}">
      <formula1>"ไม่มี,ป้ายขาวดำ,ป้ายประมูล"</formula1>
    </dataValidation>
    <dataValidation type="list" allowBlank="1" sqref="AL2:AL101 AI2:AI101 AF2:AF101" xr:uid="{00000000-0002-0000-0C00-000004000000}">
      <formula1>"ใช่,ไม่ใช่"</formula1>
    </dataValidation>
    <dataValidation type="list" allowBlank="1" sqref="O2:O101" xr:uid="{00000000-0002-0000-0C00-00000E000000}">
      <formula1>"ตัดบัญชี,แจ้งย้าย,ไม่มี"</formula1>
    </dataValidation>
    <dataValidation type="list" allowBlank="1" sqref="S2:S101" xr:uid="{00000000-0002-0000-0C00-000010000000}">
      <formula1>"กทม.,ต่างจังหวัด,ไม่ตรวจ"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C00-00000A000000}">
          <x14:formula1>
            <xm:f>M_ประเภทรถ!$A$2:$A$14</xm:f>
          </x14:formula1>
          <xm:sqref>K2:K101</xm:sqref>
        </x14:dataValidation>
        <x14:dataValidation type="list" allowBlank="1" xr:uid="{00000000-0002-0000-0C00-00000C000000}">
          <x14:formula1>
            <xm:f>M_จังหวัด!$A$2:$A$78</xm:f>
          </x14:formula1>
          <xm:sqref>L2:M101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คำแนะนำ</vt:lpstr>
      <vt:lpstr>M_ประเภทรถ</vt:lpstr>
      <vt:lpstr>M_ยี่ห้อ</vt:lpstr>
      <vt:lpstr>M_จังหวัด</vt:lpstr>
      <vt:lpstr>Fee_ตัดบัญชี</vt:lpstr>
      <vt:lpstr>Fee_แจ้งย้าย</vt:lpstr>
      <vt:lpstr>Fee_ตรวจรถ_กทม</vt:lpstr>
      <vt:lpstr>Fee_ตรวจรถ_ตจว</vt:lpstr>
      <vt:lpstr>Fee_รถยนต์_Bill</vt:lpstr>
      <vt:lpstr>Fee_รถยนต์_NoBill</vt:lpstr>
      <vt:lpstr>Fee_จยย_Bill</vt:lpstr>
      <vt:lpstr>Fee_จยย_NoBill</vt:lpstr>
      <vt:lpstr>บันทึกงาน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2026-09-17T12:08:32Z</dcterms:created>
  <dcterms:modified xsi:type="dcterms:W3CDTF">2026-09-17T12:20:02Z</dcterms:modified>
  <cp:category/>
</cp:coreProperties>
</file>